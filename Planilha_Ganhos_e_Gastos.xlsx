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nel" sheetId="1" state="visible" r:id="rId3"/>
    <sheet name="Configurações" sheetId="2" state="visible" r:id="rId4"/>
    <sheet name="Lançamentos" sheetId="3" state="visible" r:id="rId5"/>
    <sheet name="Resumo Mensal" sheetId="4" state="visible" r:id="rId6"/>
    <sheet name="Resumo Semanal" sheetId="5" state="visible" r:id="rId7"/>
  </sheets>
  <definedNames>
    <definedName function="false" hidden="true" localSheetId="2" name="_xlnm._FilterDatabase" vbProcedure="false">Lançamentos!$A$4:$H$2004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<sst xmlns="http://schemas.openxmlformats.org/spreadsheetml/2006/main" count="108" uniqueCount="83">
  <si>
    <t xml:space="preserve">Painel do mês</t>
  </si>
  <si>
    <t xml:space="preserve">Troque o mês na célula amarela (use o dia 1, ex.: 01/11/2026). O resto é automático.</t>
  </si>
  <si>
    <t xml:space="preserve">Mês</t>
  </si>
  <si>
    <t xml:space="preserve">(fórmula inicial = mês de Configurações; pode sobrescrever com uma data)</t>
  </si>
  <si>
    <t xml:space="preserve">Categoria</t>
  </si>
  <si>
    <t xml:space="preserve">Tipo</t>
  </si>
  <si>
    <t xml:space="preserve">Previsto</t>
  </si>
  <si>
    <t xml:space="preserve">Realizado</t>
  </si>
  <si>
    <t xml:space="preserve">Diferença</t>
  </si>
  <si>
    <t xml:space="preserve">% do previsto</t>
  </si>
  <si>
    <t xml:space="preserve">Resumo</t>
  </si>
  <si>
    <t xml:space="preserve">Ganhos do mês</t>
  </si>
  <si>
    <t xml:space="preserve">Gastos do mês</t>
  </si>
  <si>
    <t xml:space="preserve">SOBROU NO MÊS</t>
  </si>
  <si>
    <t xml:space="preserve">Gasto com rua + iFood + bar no mês</t>
  </si>
  <si>
    <t xml:space="preserve">% dos ganhos que foi pra isso</t>
  </si>
  <si>
    <t xml:space="preserve">Como usar</t>
  </si>
  <si>
    <t xml:space="preserve">1. Em Configurações: preencha salário, renda variável prevista e quanto quer gastar por categoria.</t>
  </si>
  <si>
    <t xml:space="preserve">2. Em Lançamentos: cada ganho ou gasto vira uma linha (data, categoria, descrição, valor).</t>
  </si>
  <si>
    <t xml:space="preserve">3. Toda semana: lance tudo e confira a aba Resumo Semanal.</t>
  </si>
  <si>
    <t xml:space="preserve">4. Aqui no Painel: troque o mês e veja previsto x realizado. Vermelho = estourou.</t>
  </si>
  <si>
    <t xml:space="preserve">Células amarelas/texto azul = você preenche. O resto é fórmula, não precisa mexer.</t>
  </si>
  <si>
    <t xml:space="preserve">Configurações</t>
  </si>
  <si>
    <t xml:space="preserve">Células amarelas = você preenche. Categorias novas: escreva nas linhas vazias da tabela.</t>
  </si>
  <si>
    <t xml:space="preserve">Mês inicial da planilha</t>
  </si>
  <si>
    <t xml:space="preserve">Primeiro mês que aparece nos resumos (12 meses a partir dele).</t>
  </si>
  <si>
    <t xml:space="preserve">Previsto por mês (R$)</t>
  </si>
  <si>
    <t xml:space="preserve">Observação</t>
  </si>
  <si>
    <t xml:space="preserve">Salário</t>
  </si>
  <si>
    <t xml:space="preserve">Ganho</t>
  </si>
  <si>
    <t xml:space="preserve">Valor líquido que cai na conta</t>
  </si>
  <si>
    <t xml:space="preserve">Renda variável</t>
  </si>
  <si>
    <t xml:space="preserve">Quanto você prevê de renda variável no mês</t>
  </si>
  <si>
    <t xml:space="preserve">Outros ganhos</t>
  </si>
  <si>
    <t xml:space="preserve">Aluguel</t>
  </si>
  <si>
    <t xml:space="preserve">Gasto</t>
  </si>
  <si>
    <t xml:space="preserve">Luz</t>
  </si>
  <si>
    <t xml:space="preserve">Água</t>
  </si>
  <si>
    <t xml:space="preserve">Compras de casa</t>
  </si>
  <si>
    <t xml:space="preserve">Mercado, limpeza, itens de casa</t>
  </si>
  <si>
    <t xml:space="preserve">Alimentação na rua</t>
  </si>
  <si>
    <t xml:space="preserve">Restaurante, lanche, padaria</t>
  </si>
  <si>
    <t xml:space="preserve">iFood</t>
  </si>
  <si>
    <t xml:space="preserve">Delivery</t>
  </si>
  <si>
    <t xml:space="preserve">Bar</t>
  </si>
  <si>
    <t xml:space="preserve">Conta de bar / rolê</t>
  </si>
  <si>
    <t xml:space="preserve">Transporte</t>
  </si>
  <si>
    <t xml:space="preserve">Uber, combustível, ônibus</t>
  </si>
  <si>
    <t xml:space="preserve">Internet/Celular</t>
  </si>
  <si>
    <t xml:space="preserve">Assinaturas</t>
  </si>
  <si>
    <t xml:space="preserve">Streaming, apps</t>
  </si>
  <si>
    <t xml:space="preserve">Saúde</t>
  </si>
  <si>
    <t xml:space="preserve">Farmácia, plano, academia</t>
  </si>
  <si>
    <t xml:space="preserve">Lazer</t>
  </si>
  <si>
    <t xml:space="preserve">Outros gastos</t>
  </si>
  <si>
    <t xml:space="preserve">Total ganhos previstos</t>
  </si>
  <si>
    <t xml:space="preserve">Total gastos previstos</t>
  </si>
  <si>
    <t xml:space="preserve">Sobra prevista no mês</t>
  </si>
  <si>
    <t xml:space="preserve">Lançamentos</t>
  </si>
  <si>
    <t xml:space="preserve">Preencha só as colunas amarelas (A–E). Tipo, Semana e Mês são automáticos. A linha 5 é um exemplo — pode apagar.</t>
  </si>
  <si>
    <t xml:space="preserve">Data</t>
  </si>
  <si>
    <t xml:space="preserve">Descrição</t>
  </si>
  <si>
    <t xml:space="preserve">Valor (R$)</t>
  </si>
  <si>
    <t xml:space="preserve">Forma de pagamento</t>
  </si>
  <si>
    <t xml:space="preserve">Semana (seg.)</t>
  </si>
  <si>
    <t xml:space="preserve">Pizza sábado (exemplo – pode apagar)</t>
  </si>
  <si>
    <t xml:space="preserve">Crédito</t>
  </si>
  <si>
    <t xml:space="preserve">Resumo mensal</t>
  </si>
  <si>
    <t xml:space="preserve">Tudo automático. Previsto vem de Configurações; os meses somam os Lançamentos.</t>
  </si>
  <si>
    <t xml:space="preserve">Previsto/mês</t>
  </si>
  <si>
    <t xml:space="preserve">Total 12 meses</t>
  </si>
  <si>
    <t xml:space="preserve">Média mensal</t>
  </si>
  <si>
    <t xml:space="preserve">Total ganhos</t>
  </si>
  <si>
    <t xml:space="preserve">Total gastos</t>
  </si>
  <si>
    <t xml:space="preserve">Saldo do mês (sobrou)</t>
  </si>
  <si>
    <t xml:space="preserve">Saldo acumulado</t>
  </si>
  <si>
    <t xml:space="preserve">Diferença vs. previsto</t>
  </si>
  <si>
    <t xml:space="preserve">Resumo semanal</t>
  </si>
  <si>
    <t xml:space="preserve">Semanas de segunda a domingo. Bom pra fechar a semana e ver onde o dinheiro foi.</t>
  </si>
  <si>
    <t xml:space="preserve">até (dom.)</t>
  </si>
  <si>
    <t xml:space="preserve">Ganhos</t>
  </si>
  <si>
    <t xml:space="preserve">Gastos</t>
  </si>
  <si>
    <t xml:space="preserve">Saldo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</si>
</sst>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m/yyyy"/>
    <numFmt numFmtId="166" formatCode="&quot;R$ &quot;#,##0.00;[RED]&quot;-R$ &quot;#,##0.00;\-"/>
    <numFmt numFmtId="167" formatCode="0%"/>
    <numFmt numFmtId="168" formatCode="dd/mm/yyyy"/>
    <numFmt numFmtId="169" formatCode="mmm/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b val="1"/>
        <color rgb="FFC00000"/>
        <sz val="12"/>
      </font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"/>
    <col collapsed="false" customWidth="true" hidden="false" outlineLevel="0" max="5" min="3" style="0" width="15"/>
    <col collapsed="false" customWidth="true" hidden="false" outlineLevel="0" max="6" min="6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f aca="false">Configurações!$B$4</f>
        <v>46296</v>
      </c>
      <c r="C4" s="2" t="s">
        <v>3</v>
      </c>
    </row>
    <row r="6" customFormat="false" ht="15" hidden="false" customHeight="fals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</row>
    <row r="7" customFormat="false" ht="15" hidden="false" customHeight="false" outlineLevel="0" collapsed="false">
      <c r="A7" s="6" t="str">
        <f aca="false">IF(Configurações!A7="","",Configurações!A7)</f>
        <v>Salário</v>
      </c>
      <c r="B7" s="6" t="str">
        <f aca="false">IF(Configurações!B7="","",Configurações!B7)</f>
        <v>Ganho</v>
      </c>
      <c r="C7" s="7" t="n">
        <f aca="false">IF($A7="","",N(Configurações!C7))</f>
        <v>0</v>
      </c>
      <c r="D7" s="7" t="n">
        <f aca="false">IF($A7="","",SUMIFS(Lançamentos!$D$5:$D$2004,Lançamentos!$B$5:$B$2004,$A7,Lançamentos!$H$5:$H$2004,$B$4))</f>
        <v>0</v>
      </c>
      <c r="E7" s="7" t="n">
        <f aca="false">IF($A7="","",IF($B7="Ganho",D7-C7,C7-D7))</f>
        <v>0</v>
      </c>
      <c r="F7" s="8" t="str">
        <f aca="false">IF(OR($A7="",N(C7)=0),"",D7/C7)</f>
        <v/>
      </c>
    </row>
    <row r="8" customFormat="false" ht="15" hidden="false" customHeight="false" outlineLevel="0" collapsed="false">
      <c r="A8" s="6" t="str">
        <f aca="false">IF(Configurações!A8="","",Configurações!A8)</f>
        <v>Renda variável</v>
      </c>
      <c r="B8" s="6" t="str">
        <f aca="false">IF(Configurações!B8="","",Configurações!B8)</f>
        <v>Ganho</v>
      </c>
      <c r="C8" s="7" t="n">
        <f aca="false">IF($A8="","",N(Configurações!C8))</f>
        <v>0</v>
      </c>
      <c r="D8" s="7" t="n">
        <f aca="false">IF($A8="","",SUMIFS(Lançamentos!$D$5:$D$2004,Lançamentos!$B$5:$B$2004,$A8,Lançamentos!$H$5:$H$2004,$B$4))</f>
        <v>0</v>
      </c>
      <c r="E8" s="7" t="n">
        <f aca="false">IF($A8="","",IF($B8="Ganho",D8-C8,C8-D8))</f>
        <v>0</v>
      </c>
      <c r="F8" s="8" t="str">
        <f aca="false">IF(OR($A8="",N(C8)=0),"",D8/C8)</f>
        <v/>
      </c>
    </row>
    <row r="9" customFormat="false" ht="15" hidden="false" customHeight="false" outlineLevel="0" collapsed="false">
      <c r="A9" s="6" t="str">
        <f aca="false">IF(Configurações!A9="","",Configurações!A9)</f>
        <v>Outros ganhos</v>
      </c>
      <c r="B9" s="6" t="str">
        <f aca="false">IF(Configurações!B9="","",Configurações!B9)</f>
        <v>Ganho</v>
      </c>
      <c r="C9" s="7" t="n">
        <f aca="false">IF($A9="","",N(Configurações!C9))</f>
        <v>0</v>
      </c>
      <c r="D9" s="7" t="n">
        <f aca="false">IF($A9="","",SUMIFS(Lançamentos!$D$5:$D$2004,Lançamentos!$B$5:$B$2004,$A9,Lançamentos!$H$5:$H$2004,$B$4))</f>
        <v>0</v>
      </c>
      <c r="E9" s="7" t="n">
        <f aca="false">IF($A9="","",IF($B9="Ganho",D9-C9,C9-D9))</f>
        <v>0</v>
      </c>
      <c r="F9" s="8" t="str">
        <f aca="false">IF(OR($A9="",N(C9)=0),"",D9/C9)</f>
        <v/>
      </c>
    </row>
    <row r="10" customFormat="false" ht="15" hidden="false" customHeight="false" outlineLevel="0" collapsed="false">
      <c r="A10" s="6" t="str">
        <f aca="false">IF(Configurações!A10="","",Configurações!A10)</f>
        <v>Aluguel</v>
      </c>
      <c r="B10" s="6" t="str">
        <f aca="false">IF(Configurações!B10="","",Configurações!B10)</f>
        <v>Gasto</v>
      </c>
      <c r="C10" s="7" t="n">
        <f aca="false">IF($A10="","",N(Configurações!C10))</f>
        <v>0</v>
      </c>
      <c r="D10" s="7" t="n">
        <f aca="false">IF($A10="","",SUMIFS(Lançamentos!$D$5:$D$2004,Lançamentos!$B$5:$B$2004,$A10,Lançamentos!$H$5:$H$2004,$B$4))</f>
        <v>0</v>
      </c>
      <c r="E10" s="7" t="n">
        <f aca="false">IF($A10="","",IF($B10="Ganho",D10-C10,C10-D10))</f>
        <v>0</v>
      </c>
      <c r="F10" s="8" t="str">
        <f aca="false">IF(OR($A10="",N(C10)=0),"",D10/C10)</f>
        <v/>
      </c>
    </row>
    <row r="11" customFormat="false" ht="15" hidden="false" customHeight="false" outlineLevel="0" collapsed="false">
      <c r="A11" s="6" t="str">
        <f aca="false">IF(Configurações!A11="","",Configurações!A11)</f>
        <v>Luz</v>
      </c>
      <c r="B11" s="6" t="str">
        <f aca="false">IF(Configurações!B11="","",Configurações!B11)</f>
        <v>Gasto</v>
      </c>
      <c r="C11" s="7" t="n">
        <f aca="false">IF($A11="","",N(Configurações!C11))</f>
        <v>0</v>
      </c>
      <c r="D11" s="7" t="n">
        <f aca="false">IF($A11="","",SUMIFS(Lançamentos!$D$5:$D$2004,Lançamentos!$B$5:$B$2004,$A11,Lançamentos!$H$5:$H$2004,$B$4))</f>
        <v>0</v>
      </c>
      <c r="E11" s="7" t="n">
        <f aca="false">IF($A11="","",IF($B11="Ganho",D11-C11,C11-D11))</f>
        <v>0</v>
      </c>
      <c r="F11" s="8" t="str">
        <f aca="false">IF(OR($A11="",N(C11)=0),"",D11/C11)</f>
        <v/>
      </c>
    </row>
    <row r="12" customFormat="false" ht="15" hidden="false" customHeight="false" outlineLevel="0" collapsed="false">
      <c r="A12" s="6" t="str">
        <f aca="false">IF(Configurações!A12="","",Configurações!A12)</f>
        <v>Água</v>
      </c>
      <c r="B12" s="6" t="str">
        <f aca="false">IF(Configurações!B12="","",Configurações!B12)</f>
        <v>Gasto</v>
      </c>
      <c r="C12" s="7" t="n">
        <f aca="false">IF($A12="","",N(Configurações!C12))</f>
        <v>0</v>
      </c>
      <c r="D12" s="7" t="n">
        <f aca="false">IF($A12="","",SUMIFS(Lançamentos!$D$5:$D$2004,Lançamentos!$B$5:$B$2004,$A12,Lançamentos!$H$5:$H$2004,$B$4))</f>
        <v>0</v>
      </c>
      <c r="E12" s="7" t="n">
        <f aca="false">IF($A12="","",IF($B12="Ganho",D12-C12,C12-D12))</f>
        <v>0</v>
      </c>
      <c r="F12" s="8" t="str">
        <f aca="false">IF(OR($A12="",N(C12)=0),"",D12/C12)</f>
        <v/>
      </c>
    </row>
    <row r="13" customFormat="false" ht="15" hidden="false" customHeight="false" outlineLevel="0" collapsed="false">
      <c r="A13" s="6" t="str">
        <f aca="false">IF(Configurações!A13="","",Configurações!A13)</f>
        <v>Compras de casa</v>
      </c>
      <c r="B13" s="6" t="str">
        <f aca="false">IF(Configurações!B13="","",Configurações!B13)</f>
        <v>Gasto</v>
      </c>
      <c r="C13" s="7" t="n">
        <f aca="false">IF($A13="","",N(Configurações!C13))</f>
        <v>0</v>
      </c>
      <c r="D13" s="7" t="n">
        <f aca="false">IF($A13="","",SUMIFS(Lançamentos!$D$5:$D$2004,Lançamentos!$B$5:$B$2004,$A13,Lançamentos!$H$5:$H$2004,$B$4))</f>
        <v>0</v>
      </c>
      <c r="E13" s="7" t="n">
        <f aca="false">IF($A13="","",IF($B13="Ganho",D13-C13,C13-D13))</f>
        <v>0</v>
      </c>
      <c r="F13" s="8" t="str">
        <f aca="false">IF(OR($A13="",N(C13)=0),"",D13/C13)</f>
        <v/>
      </c>
    </row>
    <row r="14" customFormat="false" ht="15" hidden="false" customHeight="false" outlineLevel="0" collapsed="false">
      <c r="A14" s="6" t="str">
        <f aca="false">IF(Configurações!A14="","",Configurações!A14)</f>
        <v>Alimentação na rua</v>
      </c>
      <c r="B14" s="6" t="str">
        <f aca="false">IF(Configurações!B14="","",Configurações!B14)</f>
        <v>Gasto</v>
      </c>
      <c r="C14" s="7" t="n">
        <f aca="false">IF($A14="","",N(Configurações!C14))</f>
        <v>0</v>
      </c>
      <c r="D14" s="7" t="n">
        <f aca="false">IF($A14="","",SUMIFS(Lançamentos!$D$5:$D$2004,Lançamentos!$B$5:$B$2004,$A14,Lançamentos!$H$5:$H$2004,$B$4))</f>
        <v>0</v>
      </c>
      <c r="E14" s="7" t="n">
        <f aca="false">IF($A14="","",IF($B14="Ganho",D14-C14,C14-D14))</f>
        <v>0</v>
      </c>
      <c r="F14" s="8" t="str">
        <f aca="false">IF(OR($A14="",N(C14)=0),"",D14/C14)</f>
        <v/>
      </c>
    </row>
    <row r="15" customFormat="false" ht="15" hidden="false" customHeight="false" outlineLevel="0" collapsed="false">
      <c r="A15" s="6" t="str">
        <f aca="false">IF(Configurações!A15="","",Configurações!A15)</f>
        <v>iFood</v>
      </c>
      <c r="B15" s="6" t="str">
        <f aca="false">IF(Configurações!B15="","",Configurações!B15)</f>
        <v>Gasto</v>
      </c>
      <c r="C15" s="7" t="n">
        <f aca="false">IF($A15="","",N(Configurações!C15))</f>
        <v>0</v>
      </c>
      <c r="D15" s="7" t="n">
        <f aca="false">IF($A15="","",SUMIFS(Lançamentos!$D$5:$D$2004,Lançamentos!$B$5:$B$2004,$A15,Lançamentos!$H$5:$H$2004,$B$4))</f>
        <v>62.9</v>
      </c>
      <c r="E15" s="7" t="n">
        <f aca="false">IF($A15="","",IF($B15="Ganho",D15-C15,C15-D15))</f>
        <v>-62.9</v>
      </c>
      <c r="F15" s="8" t="str">
        <f aca="false">IF(OR($A15="",N(C15)=0),"",D15/C15)</f>
        <v/>
      </c>
    </row>
    <row r="16" customFormat="false" ht="15" hidden="false" customHeight="false" outlineLevel="0" collapsed="false">
      <c r="A16" s="6" t="str">
        <f aca="false">IF(Configurações!A16="","",Configurações!A16)</f>
        <v>Bar</v>
      </c>
      <c r="B16" s="6" t="str">
        <f aca="false">IF(Configurações!B16="","",Configurações!B16)</f>
        <v>Gasto</v>
      </c>
      <c r="C16" s="7" t="n">
        <f aca="false">IF($A16="","",N(Configurações!C16))</f>
        <v>0</v>
      </c>
      <c r="D16" s="7" t="n">
        <f aca="false">IF($A16="","",SUMIFS(Lançamentos!$D$5:$D$2004,Lançamentos!$B$5:$B$2004,$A16,Lançamentos!$H$5:$H$2004,$B$4))</f>
        <v>0</v>
      </c>
      <c r="E16" s="7" t="n">
        <f aca="false">IF($A16="","",IF($B16="Ganho",D16-C16,C16-D16))</f>
        <v>0</v>
      </c>
      <c r="F16" s="8" t="str">
        <f aca="false">IF(OR($A16="",N(C16)=0),"",D16/C16)</f>
        <v/>
      </c>
    </row>
    <row r="17" customFormat="false" ht="15" hidden="false" customHeight="false" outlineLevel="0" collapsed="false">
      <c r="A17" s="6" t="str">
        <f aca="false">IF(Configurações!A17="","",Configurações!A17)</f>
        <v>Transporte</v>
      </c>
      <c r="B17" s="6" t="str">
        <f aca="false">IF(Configurações!B17="","",Configurações!B17)</f>
        <v>Gasto</v>
      </c>
      <c r="C17" s="7" t="n">
        <f aca="false">IF($A17="","",N(Configurações!C17))</f>
        <v>0</v>
      </c>
      <c r="D17" s="7" t="n">
        <f aca="false">IF($A17="","",SUMIFS(Lançamentos!$D$5:$D$2004,Lançamentos!$B$5:$B$2004,$A17,Lançamentos!$H$5:$H$2004,$B$4))</f>
        <v>0</v>
      </c>
      <c r="E17" s="7" t="n">
        <f aca="false">IF($A17="","",IF($B17="Ganho",D17-C17,C17-D17))</f>
        <v>0</v>
      </c>
      <c r="F17" s="8" t="str">
        <f aca="false">IF(OR($A17="",N(C17)=0),"",D17/C17)</f>
        <v/>
      </c>
    </row>
    <row r="18" customFormat="false" ht="15" hidden="false" customHeight="false" outlineLevel="0" collapsed="false">
      <c r="A18" s="6" t="str">
        <f aca="false">IF(Configurações!A18="","",Configurações!A18)</f>
        <v>Internet/Celular</v>
      </c>
      <c r="B18" s="6" t="str">
        <f aca="false">IF(Configurações!B18="","",Configurações!B18)</f>
        <v>Gasto</v>
      </c>
      <c r="C18" s="7" t="n">
        <f aca="false">IF($A18="","",N(Configurações!C18))</f>
        <v>0</v>
      </c>
      <c r="D18" s="7" t="n">
        <f aca="false">IF($A18="","",SUMIFS(Lançamentos!$D$5:$D$2004,Lançamentos!$B$5:$B$2004,$A18,Lançamentos!$H$5:$H$2004,$B$4))</f>
        <v>0</v>
      </c>
      <c r="E18" s="7" t="n">
        <f aca="false">IF($A18="","",IF($B18="Ganho",D18-C18,C18-D18))</f>
        <v>0</v>
      </c>
      <c r="F18" s="8" t="str">
        <f aca="false">IF(OR($A18="",N(C18)=0),"",D18/C18)</f>
        <v/>
      </c>
    </row>
    <row r="19" customFormat="false" ht="15" hidden="false" customHeight="false" outlineLevel="0" collapsed="false">
      <c r="A19" s="6" t="str">
        <f aca="false">IF(Configurações!A19="","",Configurações!A19)</f>
        <v>Assinaturas</v>
      </c>
      <c r="B19" s="6" t="str">
        <f aca="false">IF(Configurações!B19="","",Configurações!B19)</f>
        <v>Gasto</v>
      </c>
      <c r="C19" s="7" t="n">
        <f aca="false">IF($A19="","",N(Configurações!C19))</f>
        <v>0</v>
      </c>
      <c r="D19" s="7" t="n">
        <f aca="false">IF($A19="","",SUMIFS(Lançamentos!$D$5:$D$2004,Lançamentos!$B$5:$B$2004,$A19,Lançamentos!$H$5:$H$2004,$B$4))</f>
        <v>0</v>
      </c>
      <c r="E19" s="7" t="n">
        <f aca="false">IF($A19="","",IF($B19="Ganho",D19-C19,C19-D19))</f>
        <v>0</v>
      </c>
      <c r="F19" s="8" t="str">
        <f aca="false">IF(OR($A19="",N(C19)=0),"",D19/C19)</f>
        <v/>
      </c>
    </row>
    <row r="20" customFormat="false" ht="15" hidden="false" customHeight="false" outlineLevel="0" collapsed="false">
      <c r="A20" s="6" t="str">
        <f aca="false">IF(Configurações!A20="","",Configurações!A20)</f>
        <v>Saúde</v>
      </c>
      <c r="B20" s="6" t="str">
        <f aca="false">IF(Configurações!B20="","",Configurações!B20)</f>
        <v>Gasto</v>
      </c>
      <c r="C20" s="7" t="n">
        <f aca="false">IF($A20="","",N(Configurações!C20))</f>
        <v>0</v>
      </c>
      <c r="D20" s="7" t="n">
        <f aca="false">IF($A20="","",SUMIFS(Lançamentos!$D$5:$D$2004,Lançamentos!$B$5:$B$2004,$A20,Lançamentos!$H$5:$H$2004,$B$4))</f>
        <v>0</v>
      </c>
      <c r="E20" s="7" t="n">
        <f aca="false">IF($A20="","",IF($B20="Ganho",D20-C20,C20-D20))</f>
        <v>0</v>
      </c>
      <c r="F20" s="8" t="str">
        <f aca="false">IF(OR($A20="",N(C20)=0),"",D20/C20)</f>
        <v/>
      </c>
    </row>
    <row r="21" customFormat="false" ht="15" hidden="false" customHeight="false" outlineLevel="0" collapsed="false">
      <c r="A21" s="6" t="str">
        <f aca="false">IF(Configurações!A21="","",Configurações!A21)</f>
        <v>Lazer</v>
      </c>
      <c r="B21" s="6" t="str">
        <f aca="false">IF(Configurações!B21="","",Configurações!B21)</f>
        <v>Gasto</v>
      </c>
      <c r="C21" s="7" t="n">
        <f aca="false">IF($A21="","",N(Configurações!C21))</f>
        <v>0</v>
      </c>
      <c r="D21" s="7" t="n">
        <f aca="false">IF($A21="","",SUMIFS(Lançamentos!$D$5:$D$2004,Lançamentos!$B$5:$B$2004,$A21,Lançamentos!$H$5:$H$2004,$B$4))</f>
        <v>0</v>
      </c>
      <c r="E21" s="7" t="n">
        <f aca="false">IF($A21="","",IF($B21="Ganho",D21-C21,C21-D21))</f>
        <v>0</v>
      </c>
      <c r="F21" s="8" t="str">
        <f aca="false">IF(OR($A21="",N(C21)=0),"",D21/C21)</f>
        <v/>
      </c>
    </row>
    <row r="22" customFormat="false" ht="15" hidden="false" customHeight="false" outlineLevel="0" collapsed="false">
      <c r="A22" s="6" t="str">
        <f aca="false">IF(Configurações!A22="","",Configurações!A22)</f>
        <v>Outros gastos</v>
      </c>
      <c r="B22" s="6" t="str">
        <f aca="false">IF(Configurações!B22="","",Configurações!B22)</f>
        <v>Gasto</v>
      </c>
      <c r="C22" s="7" t="n">
        <f aca="false">IF($A22="","",N(Configurações!C22))</f>
        <v>0</v>
      </c>
      <c r="D22" s="7" t="n">
        <f aca="false">IF($A22="","",SUMIFS(Lançamentos!$D$5:$D$2004,Lançamentos!$B$5:$B$2004,$A22,Lançamentos!$H$5:$H$2004,$B$4))</f>
        <v>0</v>
      </c>
      <c r="E22" s="7" t="n">
        <f aca="false">IF($A22="","",IF($B22="Ganho",D22-C22,C22-D22))</f>
        <v>0</v>
      </c>
      <c r="F22" s="8" t="str">
        <f aca="false">IF(OR($A22="",N(C22)=0),"",D22/C22)</f>
        <v/>
      </c>
    </row>
    <row r="23" customFormat="false" ht="15" hidden="false" customHeight="false" outlineLevel="0" collapsed="false">
      <c r="A23" s="6" t="str">
        <f aca="false">IF(Configurações!A23="","",Configurações!A23)</f>
        <v/>
      </c>
      <c r="B23" s="6" t="str">
        <f aca="false">IF(Configurações!B23="","",Configurações!B23)</f>
        <v/>
      </c>
      <c r="C23" s="7" t="str">
        <f aca="false">IF($A23="","",N(Configurações!C23))</f>
        <v/>
      </c>
      <c r="D23" s="7" t="str">
        <f aca="false">IF($A23="","",SUMIFS(Lançamentos!$D$5:$D$2004,Lançamentos!$B$5:$B$2004,$A23,Lançamentos!$H$5:$H$2004,$B$4))</f>
        <v/>
      </c>
      <c r="E23" s="7" t="str">
        <f aca="false">IF($A23="","",IF($B23="Ganho",D23-C23,C23-D23))</f>
        <v/>
      </c>
      <c r="F23" s="8" t="str">
        <f aca="false">IF(OR($A23="",N(C23)=0),"",D23/C23)</f>
        <v/>
      </c>
    </row>
    <row r="24" customFormat="false" ht="15" hidden="false" customHeight="false" outlineLevel="0" collapsed="false">
      <c r="A24" s="6" t="str">
        <f aca="false">IF(Configurações!A24="","",Configurações!A24)</f>
        <v/>
      </c>
      <c r="B24" s="6" t="str">
        <f aca="false">IF(Configurações!B24="","",Configurações!B24)</f>
        <v/>
      </c>
      <c r="C24" s="7" t="str">
        <f aca="false">IF($A24="","",N(Configurações!C24))</f>
        <v/>
      </c>
      <c r="D24" s="7" t="str">
        <f aca="false">IF($A24="","",SUMIFS(Lançamentos!$D$5:$D$2004,Lançamentos!$B$5:$B$2004,$A24,Lançamentos!$H$5:$H$2004,$B$4))</f>
        <v/>
      </c>
      <c r="E24" s="7" t="str">
        <f aca="false">IF($A24="","",IF($B24="Ganho",D24-C24,C24-D24))</f>
        <v/>
      </c>
      <c r="F24" s="8" t="str">
        <f aca="false">IF(OR($A24="",N(C24)=0),"",D24/C24)</f>
        <v/>
      </c>
    </row>
    <row r="25" customFormat="false" ht="15" hidden="false" customHeight="false" outlineLevel="0" collapsed="false">
      <c r="A25" s="6" t="str">
        <f aca="false">IF(Configurações!A25="","",Configurações!A25)</f>
        <v/>
      </c>
      <c r="B25" s="6" t="str">
        <f aca="false">IF(Configurações!B25="","",Configurações!B25)</f>
        <v/>
      </c>
      <c r="C25" s="7" t="str">
        <f aca="false">IF($A25="","",N(Configurações!C25))</f>
        <v/>
      </c>
      <c r="D25" s="7" t="str">
        <f aca="false">IF($A25="","",SUMIFS(Lançamentos!$D$5:$D$2004,Lançamentos!$B$5:$B$2004,$A25,Lançamentos!$H$5:$H$2004,$B$4))</f>
        <v/>
      </c>
      <c r="E25" s="7" t="str">
        <f aca="false">IF($A25="","",IF($B25="Ganho",D25-C25,C25-D25))</f>
        <v/>
      </c>
      <c r="F25" s="8" t="str">
        <f aca="false">IF(OR($A25="",N(C25)=0),"",D25/C25)</f>
        <v/>
      </c>
    </row>
    <row r="26" customFormat="false" ht="15" hidden="false" customHeight="false" outlineLevel="0" collapsed="false">
      <c r="A26" s="6" t="str">
        <f aca="false">IF(Configurações!A26="","",Configurações!A26)</f>
        <v/>
      </c>
      <c r="B26" s="6" t="str">
        <f aca="false">IF(Configurações!B26="","",Configurações!B26)</f>
        <v/>
      </c>
      <c r="C26" s="7" t="str">
        <f aca="false">IF($A26="","",N(Configurações!C26))</f>
        <v/>
      </c>
      <c r="D26" s="7" t="str">
        <f aca="false">IF($A26="","",SUMIFS(Lançamentos!$D$5:$D$2004,Lançamentos!$B$5:$B$2004,$A26,Lançamentos!$H$5:$H$2004,$B$4))</f>
        <v/>
      </c>
      <c r="E26" s="7" t="str">
        <f aca="false">IF($A26="","",IF($B26="Ganho",D26-C26,C26-D26))</f>
        <v/>
      </c>
      <c r="F26" s="8" t="str">
        <f aca="false">IF(OR($A26="",N(C26)=0),"",D26/C26)</f>
        <v/>
      </c>
    </row>
    <row r="27" customFormat="false" ht="15" hidden="false" customHeight="false" outlineLevel="0" collapsed="false">
      <c r="A27" s="6" t="str">
        <f aca="false">IF(Configurações!A27="","",Configurações!A27)</f>
        <v/>
      </c>
      <c r="B27" s="6" t="str">
        <f aca="false">IF(Configurações!B27="","",Configurações!B27)</f>
        <v/>
      </c>
      <c r="C27" s="7" t="str">
        <f aca="false">IF($A27="","",N(Configurações!C27))</f>
        <v/>
      </c>
      <c r="D27" s="7" t="str">
        <f aca="false">IF($A27="","",SUMIFS(Lançamentos!$D$5:$D$2004,Lançamentos!$B$5:$B$2004,$A27,Lançamentos!$H$5:$H$2004,$B$4))</f>
        <v/>
      </c>
      <c r="E27" s="7" t="str">
        <f aca="false">IF($A27="","",IF($B27="Ganho",D27-C27,C27-D27))</f>
        <v/>
      </c>
      <c r="F27" s="8" t="str">
        <f aca="false">IF(OR($A27="",N(C27)=0),"",D27/C27)</f>
        <v/>
      </c>
    </row>
    <row r="28" customFormat="false" ht="15" hidden="false" customHeight="false" outlineLevel="0" collapsed="false">
      <c r="A28" s="6" t="str">
        <f aca="false">IF(Configurações!A28="","",Configurações!A28)</f>
        <v/>
      </c>
      <c r="B28" s="6" t="str">
        <f aca="false">IF(Configurações!B28="","",Configurações!B28)</f>
        <v/>
      </c>
      <c r="C28" s="7" t="str">
        <f aca="false">IF($A28="","",N(Configurações!C28))</f>
        <v/>
      </c>
      <c r="D28" s="7" t="str">
        <f aca="false">IF($A28="","",SUMIFS(Lançamentos!$D$5:$D$2004,Lançamentos!$B$5:$B$2004,$A28,Lançamentos!$H$5:$H$2004,$B$4))</f>
        <v/>
      </c>
      <c r="E28" s="7" t="str">
        <f aca="false">IF($A28="","",IF($B28="Ganho",D28-C28,C28-D28))</f>
        <v/>
      </c>
      <c r="F28" s="8" t="str">
        <f aca="false">IF(OR($A28="",N(C28)=0),"",D28/C28)</f>
        <v/>
      </c>
    </row>
    <row r="29" customFormat="false" ht="15" hidden="false" customHeight="false" outlineLevel="0" collapsed="false">
      <c r="A29" s="6" t="str">
        <f aca="false">IF(Configurações!A29="","",Configurações!A29)</f>
        <v/>
      </c>
      <c r="B29" s="6" t="str">
        <f aca="false">IF(Configurações!B29="","",Configurações!B29)</f>
        <v/>
      </c>
      <c r="C29" s="7" t="str">
        <f aca="false">IF($A29="","",N(Configurações!C29))</f>
        <v/>
      </c>
      <c r="D29" s="7" t="str">
        <f aca="false">IF($A29="","",SUMIFS(Lançamentos!$D$5:$D$2004,Lançamentos!$B$5:$B$2004,$A29,Lançamentos!$H$5:$H$2004,$B$4))</f>
        <v/>
      </c>
      <c r="E29" s="7" t="str">
        <f aca="false">IF($A29="","",IF($B29="Ganho",D29-C29,C29-D29))</f>
        <v/>
      </c>
      <c r="F29" s="8" t="str">
        <f aca="false">IF(OR($A29="",N(C29)=0),"",D29/C29)</f>
        <v/>
      </c>
    </row>
    <row r="30" customFormat="false" ht="15" hidden="false" customHeight="false" outlineLevel="0" collapsed="false">
      <c r="A30" s="6" t="str">
        <f aca="false">IF(Configurações!A30="","",Configurações!A30)</f>
        <v/>
      </c>
      <c r="B30" s="6" t="str">
        <f aca="false">IF(Configurações!B30="","",Configurações!B30)</f>
        <v/>
      </c>
      <c r="C30" s="7" t="str">
        <f aca="false">IF($A30="","",N(Configurações!C30))</f>
        <v/>
      </c>
      <c r="D30" s="7" t="str">
        <f aca="false">IF($A30="","",SUMIFS(Lançamentos!$D$5:$D$2004,Lançamentos!$B$5:$B$2004,$A30,Lançamentos!$H$5:$H$2004,$B$4))</f>
        <v/>
      </c>
      <c r="E30" s="7" t="str">
        <f aca="false">IF($A30="","",IF($B30="Ganho",D30-C30,C30-D30))</f>
        <v/>
      </c>
      <c r="F30" s="8" t="str">
        <f aca="false">IF(OR($A30="",N(C30)=0),"",D30/C30)</f>
        <v/>
      </c>
    </row>
    <row r="32" customFormat="false" ht="15" hidden="false" customHeight="false" outlineLevel="0" collapsed="false">
      <c r="A32" s="5" t="s">
        <v>10</v>
      </c>
      <c r="B32" s="5"/>
      <c r="C32" s="5" t="s">
        <v>6</v>
      </c>
      <c r="D32" s="5" t="s">
        <v>7</v>
      </c>
    </row>
    <row r="33" customFormat="false" ht="15" hidden="false" customHeight="false" outlineLevel="0" collapsed="false">
      <c r="A33" s="9" t="s">
        <v>11</v>
      </c>
      <c r="B33" s="9"/>
      <c r="C33" s="9" t="n">
        <f aca="false">SUMIFS(C7:C30,B7:B30,"Ganho")</f>
        <v>0</v>
      </c>
      <c r="D33" s="9" t="n">
        <f aca="false">SUMIFS(D7:D30,B7:B30,"Ganho")</f>
        <v>0</v>
      </c>
    </row>
    <row r="34" customFormat="false" ht="15" hidden="false" customHeight="false" outlineLevel="0" collapsed="false">
      <c r="A34" s="10" t="s">
        <v>12</v>
      </c>
      <c r="B34" s="10"/>
      <c r="C34" s="10" t="n">
        <f aca="false">SUMIFS(C7:C30,B7:B30,"Gasto")</f>
        <v>0</v>
      </c>
      <c r="D34" s="10" t="n">
        <f aca="false">SUMIFS(D7:D30,B7:B30,"Gasto")</f>
        <v>62.9</v>
      </c>
    </row>
    <row r="35" customFormat="false" ht="15" hidden="false" customHeight="false" outlineLevel="0" collapsed="false">
      <c r="A35" s="11" t="s">
        <v>13</v>
      </c>
      <c r="B35" s="11"/>
      <c r="C35" s="11" t="n">
        <f aca="false">C33-C34</f>
        <v>0</v>
      </c>
      <c r="D35" s="11" t="n">
        <f aca="false">D33-D34</f>
        <v>-62.9</v>
      </c>
    </row>
    <row r="37" customFormat="false" ht="15" hidden="false" customHeight="false" outlineLevel="0" collapsed="false">
      <c r="A37" s="3" t="s">
        <v>14</v>
      </c>
      <c r="D37" s="12" t="n">
        <f aca="false">SUMIFS(D7:D30,A7:A30,"Alimentação na rua")+SUMIFS(D7:D30,A7:A30,"iFood")+SUMIFS(D7:D30,A7:A30,"Bar")</f>
        <v>62.9</v>
      </c>
    </row>
    <row r="38" customFormat="false" ht="15" hidden="false" customHeight="false" outlineLevel="0" collapsed="false">
      <c r="A38" s="3" t="s">
        <v>15</v>
      </c>
      <c r="D38" s="13" t="str">
        <f aca="false">IF(D33=0,"",D37/D33)</f>
        <v/>
      </c>
    </row>
    <row r="40" customFormat="false" ht="15" hidden="false" customHeight="false" outlineLevel="0" collapsed="false">
      <c r="A40" s="14" t="s">
        <v>16</v>
      </c>
    </row>
    <row r="41" customFormat="false" ht="15" hidden="false" customHeight="false" outlineLevel="0" collapsed="false">
      <c r="A41" s="15" t="s">
        <v>17</v>
      </c>
    </row>
    <row r="42" customFormat="false" ht="15" hidden="false" customHeight="false" outlineLevel="0" collapsed="false">
      <c r="A42" s="15" t="s">
        <v>18</v>
      </c>
    </row>
    <row r="43" customFormat="false" ht="15" hidden="false" customHeight="false" outlineLevel="0" collapsed="false">
      <c r="A43" s="15" t="s">
        <v>19</v>
      </c>
    </row>
    <row r="44" customFormat="false" ht="15" hidden="false" customHeight="false" outlineLevel="0" collapsed="false">
      <c r="A44" s="15" t="s">
        <v>20</v>
      </c>
    </row>
    <row r="45" customFormat="false" ht="15" hidden="false" customHeight="false" outlineLevel="0" collapsed="false">
      <c r="A45" s="15" t="s">
        <v>21</v>
      </c>
    </row>
  </sheetData>
  <conditionalFormatting sqref="E7:E30">
    <cfRule type="cellIs" priority="2" operator="lessThan" aboveAverage="0" equalAverage="0" bottom="0" percent="0" rank="0" text="" dxfId="0">
      <formula>0</formula>
    </cfRule>
  </conditionalFormatting>
  <conditionalFormatting sqref="F7:F30">
    <cfRule type="dataBar" priority="3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{536CCCA0-E0D5-461D-B03A-B39538B059F4}</x14:id>
        </ext>
      </extLst>
    </cfRule>
  </conditionalFormatting>
  <conditionalFormatting sqref="C35:D35">
    <cfRule type="cellIs" priority="4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36CCCA0-E0D5-461D-B03A-B39538B059F4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F7:F30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44"/>
  </cols>
  <sheetData>
    <row r="1" customFormat="false" ht="19.7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</row>
    <row r="4" customFormat="false" ht="15" hidden="false" customHeight="false" outlineLevel="0" collapsed="false">
      <c r="A4" s="3" t="s">
        <v>24</v>
      </c>
      <c r="B4" s="16" t="n">
        <v>46296</v>
      </c>
      <c r="C4" s="2" t="s">
        <v>25</v>
      </c>
    </row>
    <row r="6" customFormat="false" ht="15" hidden="false" customHeight="false" outlineLevel="0" collapsed="false">
      <c r="A6" s="5" t="s">
        <v>4</v>
      </c>
      <c r="B6" s="5" t="s">
        <v>5</v>
      </c>
      <c r="C6" s="5" t="s">
        <v>26</v>
      </c>
      <c r="D6" s="5" t="s">
        <v>27</v>
      </c>
    </row>
    <row r="7" customFormat="false" ht="15" hidden="false" customHeight="false" outlineLevel="0" collapsed="false">
      <c r="A7" s="17" t="s">
        <v>28</v>
      </c>
      <c r="B7" s="17" t="s">
        <v>29</v>
      </c>
      <c r="C7" s="18"/>
      <c r="D7" s="19" t="s">
        <v>30</v>
      </c>
    </row>
    <row r="8" customFormat="false" ht="15" hidden="false" customHeight="false" outlineLevel="0" collapsed="false">
      <c r="A8" s="17" t="s">
        <v>31</v>
      </c>
      <c r="B8" s="17" t="s">
        <v>29</v>
      </c>
      <c r="C8" s="18"/>
      <c r="D8" s="19" t="s">
        <v>32</v>
      </c>
    </row>
    <row r="9" customFormat="false" ht="15" hidden="false" customHeight="false" outlineLevel="0" collapsed="false">
      <c r="A9" s="17" t="s">
        <v>33</v>
      </c>
      <c r="B9" s="17" t="s">
        <v>29</v>
      </c>
      <c r="C9" s="18"/>
      <c r="D9" s="19"/>
    </row>
    <row r="10" customFormat="false" ht="15" hidden="false" customHeight="false" outlineLevel="0" collapsed="false">
      <c r="A10" s="17" t="s">
        <v>34</v>
      </c>
      <c r="B10" s="17" t="s">
        <v>35</v>
      </c>
      <c r="C10" s="18"/>
      <c r="D10" s="19"/>
    </row>
    <row r="11" customFormat="false" ht="15" hidden="false" customHeight="false" outlineLevel="0" collapsed="false">
      <c r="A11" s="17" t="s">
        <v>36</v>
      </c>
      <c r="B11" s="17" t="s">
        <v>35</v>
      </c>
      <c r="C11" s="18"/>
      <c r="D11" s="19"/>
    </row>
    <row r="12" customFormat="false" ht="15" hidden="false" customHeight="false" outlineLevel="0" collapsed="false">
      <c r="A12" s="17" t="s">
        <v>37</v>
      </c>
      <c r="B12" s="17" t="s">
        <v>35</v>
      </c>
      <c r="C12" s="18"/>
      <c r="D12" s="19"/>
    </row>
    <row r="13" customFormat="false" ht="15" hidden="false" customHeight="false" outlineLevel="0" collapsed="false">
      <c r="A13" s="17" t="s">
        <v>38</v>
      </c>
      <c r="B13" s="17" t="s">
        <v>35</v>
      </c>
      <c r="C13" s="18"/>
      <c r="D13" s="19" t="s">
        <v>39</v>
      </c>
    </row>
    <row r="14" customFormat="false" ht="15" hidden="false" customHeight="false" outlineLevel="0" collapsed="false">
      <c r="A14" s="17" t="s">
        <v>40</v>
      </c>
      <c r="B14" s="17" t="s">
        <v>35</v>
      </c>
      <c r="C14" s="18"/>
      <c r="D14" s="19" t="s">
        <v>41</v>
      </c>
    </row>
    <row r="15" customFormat="false" ht="15" hidden="false" customHeight="false" outlineLevel="0" collapsed="false">
      <c r="A15" s="17" t="s">
        <v>42</v>
      </c>
      <c r="B15" s="17" t="s">
        <v>35</v>
      </c>
      <c r="C15" s="18"/>
      <c r="D15" s="19" t="s">
        <v>43</v>
      </c>
    </row>
    <row r="16" customFormat="false" ht="15" hidden="false" customHeight="false" outlineLevel="0" collapsed="false">
      <c r="A16" s="17" t="s">
        <v>44</v>
      </c>
      <c r="B16" s="17" t="s">
        <v>35</v>
      </c>
      <c r="C16" s="18"/>
      <c r="D16" s="19" t="s">
        <v>45</v>
      </c>
    </row>
    <row r="17" customFormat="false" ht="15" hidden="false" customHeight="false" outlineLevel="0" collapsed="false">
      <c r="A17" s="17" t="s">
        <v>46</v>
      </c>
      <c r="B17" s="17" t="s">
        <v>35</v>
      </c>
      <c r="C17" s="18"/>
      <c r="D17" s="19" t="s">
        <v>47</v>
      </c>
    </row>
    <row r="18" customFormat="false" ht="15" hidden="false" customHeight="false" outlineLevel="0" collapsed="false">
      <c r="A18" s="17" t="s">
        <v>48</v>
      </c>
      <c r="B18" s="17" t="s">
        <v>35</v>
      </c>
      <c r="C18" s="18"/>
      <c r="D18" s="19"/>
    </row>
    <row r="19" customFormat="false" ht="15" hidden="false" customHeight="false" outlineLevel="0" collapsed="false">
      <c r="A19" s="17" t="s">
        <v>49</v>
      </c>
      <c r="B19" s="17" t="s">
        <v>35</v>
      </c>
      <c r="C19" s="18"/>
      <c r="D19" s="19" t="s">
        <v>50</v>
      </c>
    </row>
    <row r="20" customFormat="false" ht="15" hidden="false" customHeight="false" outlineLevel="0" collapsed="false">
      <c r="A20" s="17" t="s">
        <v>51</v>
      </c>
      <c r="B20" s="17" t="s">
        <v>35</v>
      </c>
      <c r="C20" s="18"/>
      <c r="D20" s="19" t="s">
        <v>52</v>
      </c>
    </row>
    <row r="21" customFormat="false" ht="15" hidden="false" customHeight="false" outlineLevel="0" collapsed="false">
      <c r="A21" s="17" t="s">
        <v>53</v>
      </c>
      <c r="B21" s="17" t="s">
        <v>35</v>
      </c>
      <c r="C21" s="18"/>
      <c r="D21" s="19"/>
    </row>
    <row r="22" customFormat="false" ht="15" hidden="false" customHeight="false" outlineLevel="0" collapsed="false">
      <c r="A22" s="17" t="s">
        <v>54</v>
      </c>
      <c r="B22" s="17" t="s">
        <v>35</v>
      </c>
      <c r="C22" s="18"/>
      <c r="D22" s="19"/>
    </row>
    <row r="23" customFormat="false" ht="15" hidden="false" customHeight="false" outlineLevel="0" collapsed="false">
      <c r="A23" s="17"/>
      <c r="B23" s="17"/>
      <c r="C23" s="18"/>
      <c r="D23" s="20"/>
    </row>
    <row r="24" customFormat="false" ht="15" hidden="false" customHeight="false" outlineLevel="0" collapsed="false">
      <c r="A24" s="17"/>
      <c r="B24" s="17"/>
      <c r="C24" s="18"/>
      <c r="D24" s="20"/>
    </row>
    <row r="25" customFormat="false" ht="15" hidden="false" customHeight="false" outlineLevel="0" collapsed="false">
      <c r="A25" s="17"/>
      <c r="B25" s="17"/>
      <c r="C25" s="18"/>
      <c r="D25" s="20"/>
    </row>
    <row r="26" customFormat="false" ht="15" hidden="false" customHeight="false" outlineLevel="0" collapsed="false">
      <c r="A26" s="17"/>
      <c r="B26" s="17"/>
      <c r="C26" s="18"/>
      <c r="D26" s="20"/>
    </row>
    <row r="27" customFormat="false" ht="15" hidden="false" customHeight="false" outlineLevel="0" collapsed="false">
      <c r="A27" s="17"/>
      <c r="B27" s="17"/>
      <c r="C27" s="18"/>
      <c r="D27" s="20"/>
    </row>
    <row r="28" customFormat="false" ht="15" hidden="false" customHeight="false" outlineLevel="0" collapsed="false">
      <c r="A28" s="17"/>
      <c r="B28" s="17"/>
      <c r="C28" s="18"/>
      <c r="D28" s="20"/>
    </row>
    <row r="29" customFormat="false" ht="15" hidden="false" customHeight="false" outlineLevel="0" collapsed="false">
      <c r="A29" s="17"/>
      <c r="B29" s="17"/>
      <c r="C29" s="18"/>
      <c r="D29" s="20"/>
    </row>
    <row r="30" customFormat="false" ht="15" hidden="false" customHeight="false" outlineLevel="0" collapsed="false">
      <c r="A30" s="17"/>
      <c r="B30" s="17"/>
      <c r="C30" s="18"/>
      <c r="D30" s="20"/>
    </row>
    <row r="32" customFormat="false" ht="15" hidden="false" customHeight="false" outlineLevel="0" collapsed="false">
      <c r="A32" s="3" t="s">
        <v>55</v>
      </c>
      <c r="C32" s="21" t="n">
        <f aca="false">SUMIFS(C7:C30,B7:B30,"Ganho")</f>
        <v>0</v>
      </c>
    </row>
    <row r="33" customFormat="false" ht="15" hidden="false" customHeight="false" outlineLevel="0" collapsed="false">
      <c r="A33" s="3" t="s">
        <v>56</v>
      </c>
      <c r="C33" s="21" t="n">
        <f aca="false">SUMIFS(C7:C30,B7:B30,"Gasto")</f>
        <v>0</v>
      </c>
    </row>
    <row r="34" customFormat="false" ht="15" hidden="false" customHeight="false" outlineLevel="0" collapsed="false">
      <c r="A34" s="3" t="s">
        <v>57</v>
      </c>
      <c r="C34" s="21" t="n">
        <f aca="false">C32-C33</f>
        <v>0</v>
      </c>
    </row>
  </sheetData>
  <dataValidations count="1">
    <dataValidation allowBlank="true" errorStyle="stop" operator="between" showDropDown="false" showErrorMessage="false" showInputMessage="false" sqref="B7:B30" type="list">
      <formula1>"Ganho,Gasto"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8" min="8" style="0" width="11"/>
  </cols>
  <sheetData>
    <row r="1" customFormat="false" ht="19.7" hidden="false" customHeight="false" outlineLevel="0" collapsed="false">
      <c r="A1" s="1" t="s">
        <v>58</v>
      </c>
    </row>
    <row r="2" customFormat="false" ht="15" hidden="false" customHeight="false" outlineLevel="0" collapsed="false">
      <c r="A2" s="2" t="s">
        <v>59</v>
      </c>
    </row>
    <row r="4" customFormat="false" ht="23.85" hidden="false" customHeight="false" outlineLevel="0" collapsed="false">
      <c r="A4" s="5" t="s">
        <v>60</v>
      </c>
      <c r="B4" s="5" t="s">
        <v>4</v>
      </c>
      <c r="C4" s="5" t="s">
        <v>61</v>
      </c>
      <c r="D4" s="5" t="s">
        <v>62</v>
      </c>
      <c r="E4" s="5" t="s">
        <v>63</v>
      </c>
      <c r="F4" s="5" t="s">
        <v>5</v>
      </c>
      <c r="G4" s="5" t="s">
        <v>64</v>
      </c>
      <c r="H4" s="5" t="s">
        <v>2</v>
      </c>
    </row>
    <row r="5" customFormat="false" ht="15" hidden="false" customHeight="false" outlineLevel="0" collapsed="false">
      <c r="A5" s="22" t="n">
        <v>46305</v>
      </c>
      <c r="B5" s="23" t="s">
        <v>42</v>
      </c>
      <c r="C5" s="23" t="s">
        <v>65</v>
      </c>
      <c r="D5" s="24" t="n">
        <v>62.9</v>
      </c>
      <c r="E5" s="23" t="s">
        <v>66</v>
      </c>
      <c r="F5" s="15" t="str">
        <f aca="false">IF(B5="","",IFERROR(INDEX(Configurações!$B$7:$B$30,MATCH(B5,Configurações!$A$7:$A$30,0)),"?"))</f>
        <v>Gasto</v>
      </c>
      <c r="G5" s="25" t="n">
        <f aca="false">IF(A5="","",A5-WEEKDAY(A5,2)+1)</f>
        <v>46300</v>
      </c>
      <c r="H5" s="26" t="n">
        <f aca="false">IF(A5="","",DATE(YEAR(A5),MONTH(A5),1))</f>
        <v>46296</v>
      </c>
    </row>
    <row r="6" customFormat="false" ht="15" hidden="false" customHeight="false" outlineLevel="0" collapsed="false">
      <c r="A6" s="22"/>
      <c r="B6" s="23"/>
      <c r="C6" s="23"/>
      <c r="D6" s="24"/>
      <c r="E6" s="23"/>
      <c r="F6" s="15" t="str">
        <f aca="false">IF(B6="","",IFERROR(INDEX(Configurações!$B$7:$B$30,MATCH(B6,Configurações!$A$7:$A$30,0)),"?"))</f>
        <v/>
      </c>
      <c r="G6" s="25" t="str">
        <f aca="false">IF(A6="","",A6-WEEKDAY(A6,2)+1)</f>
        <v/>
      </c>
      <c r="H6" s="26" t="str">
        <f aca="false">IF(A6="","",DATE(YEAR(A6),MONTH(A6),1))</f>
        <v/>
      </c>
    </row>
    <row r="7" customFormat="false" ht="15" hidden="false" customHeight="false" outlineLevel="0" collapsed="false">
      <c r="A7" s="22"/>
      <c r="B7" s="23"/>
      <c r="C7" s="23"/>
      <c r="D7" s="24"/>
      <c r="E7" s="23"/>
      <c r="F7" s="15" t="str">
        <f aca="false">IF(B7="","",IFERROR(INDEX(Configurações!$B$7:$B$30,MATCH(B7,Configurações!$A$7:$A$30,0)),"?"))</f>
        <v/>
      </c>
      <c r="G7" s="25" t="str">
        <f aca="false">IF(A7="","",A7-WEEKDAY(A7,2)+1)</f>
        <v/>
      </c>
      <c r="H7" s="26" t="str">
        <f aca="false">IF(A7="","",DATE(YEAR(A7),MONTH(A7),1))</f>
        <v/>
      </c>
    </row>
    <row r="8" customFormat="false" ht="15" hidden="false" customHeight="false" outlineLevel="0" collapsed="false">
      <c r="A8" s="22"/>
      <c r="B8" s="23"/>
      <c r="C8" s="23"/>
      <c r="D8" s="24"/>
      <c r="E8" s="23"/>
      <c r="F8" s="15" t="str">
        <f aca="false">IF(B8="","",IFERROR(INDEX(Configurações!$B$7:$B$30,MATCH(B8,Configurações!$A$7:$A$30,0)),"?"))</f>
        <v/>
      </c>
      <c r="G8" s="25" t="str">
        <f aca="false">IF(A8="","",A8-WEEKDAY(A8,2)+1)</f>
        <v/>
      </c>
      <c r="H8" s="26" t="str">
        <f aca="false">IF(A8="","",DATE(YEAR(A8),MONTH(A8),1))</f>
        <v/>
      </c>
    </row>
    <row r="9" customFormat="false" ht="15" hidden="false" customHeight="false" outlineLevel="0" collapsed="false">
      <c r="A9" s="22"/>
      <c r="B9" s="23"/>
      <c r="C9" s="23"/>
      <c r="D9" s="24"/>
      <c r="E9" s="23"/>
      <c r="F9" s="15" t="str">
        <f aca="false">IF(B9="","",IFERROR(INDEX(Configurações!$B$7:$B$30,MATCH(B9,Configurações!$A$7:$A$30,0)),"?"))</f>
        <v/>
      </c>
      <c r="G9" s="25" t="str">
        <f aca="false">IF(A9="","",A9-WEEKDAY(A9,2)+1)</f>
        <v/>
      </c>
      <c r="H9" s="26" t="str">
        <f aca="false">IF(A9="","",DATE(YEAR(A9),MONTH(A9),1))</f>
        <v/>
      </c>
    </row>
    <row r="10" customFormat="false" ht="15" hidden="false" customHeight="false" outlineLevel="0" collapsed="false">
      <c r="A10" s="22"/>
      <c r="B10" s="23"/>
      <c r="C10" s="23"/>
      <c r="D10" s="24"/>
      <c r="E10" s="23"/>
      <c r="F10" s="15" t="str">
        <f aca="false">IF(B10="","",IFERROR(INDEX(Configurações!$B$7:$B$30,MATCH(B10,Configurações!$A$7:$A$30,0)),"?"))</f>
        <v/>
      </c>
      <c r="G10" s="25" t="str">
        <f aca="false">IF(A10="","",A10-WEEKDAY(A10,2)+1)</f>
        <v/>
      </c>
      <c r="H10" s="26" t="str">
        <f aca="false">IF(A10="","",DATE(YEAR(A10),MONTH(A10),1))</f>
        <v/>
      </c>
    </row>
    <row r="11" customFormat="false" ht="15" hidden="false" customHeight="false" outlineLevel="0" collapsed="false">
      <c r="A11" s="22"/>
      <c r="B11" s="23"/>
      <c r="C11" s="23"/>
      <c r="D11" s="24"/>
      <c r="E11" s="23"/>
      <c r="F11" s="15" t="str">
        <f aca="false">IF(B11="","",IFERROR(INDEX(Configurações!$B$7:$B$30,MATCH(B11,Configurações!$A$7:$A$30,0)),"?"))</f>
        <v/>
      </c>
      <c r="G11" s="25" t="str">
        <f aca="false">IF(A11="","",A11-WEEKDAY(A11,2)+1)</f>
        <v/>
      </c>
      <c r="H11" s="26" t="str">
        <f aca="false">IF(A11="","",DATE(YEAR(A11),MONTH(A11),1))</f>
        <v/>
      </c>
    </row>
    <row r="12" customFormat="false" ht="15" hidden="false" customHeight="false" outlineLevel="0" collapsed="false">
      <c r="A12" s="22"/>
      <c r="B12" s="23"/>
      <c r="C12" s="23"/>
      <c r="D12" s="24"/>
      <c r="E12" s="23"/>
      <c r="F12" s="15" t="str">
        <f aca="false">IF(B12="","",IFERROR(INDEX(Configurações!$B$7:$B$30,MATCH(B12,Configurações!$A$7:$A$30,0)),"?"))</f>
        <v/>
      </c>
      <c r="G12" s="25" t="str">
        <f aca="false">IF(A12="","",A12-WEEKDAY(A12,2)+1)</f>
        <v/>
      </c>
      <c r="H12" s="26" t="str">
        <f aca="false">IF(A12="","",DATE(YEAR(A12),MONTH(A12),1))</f>
        <v/>
      </c>
    </row>
    <row r="13" customFormat="false" ht="15" hidden="false" customHeight="false" outlineLevel="0" collapsed="false">
      <c r="A13" s="22"/>
      <c r="B13" s="23"/>
      <c r="C13" s="23"/>
      <c r="D13" s="24"/>
      <c r="E13" s="23"/>
      <c r="F13" s="15" t="str">
        <f aca="false">IF(B13="","",IFERROR(INDEX(Configurações!$B$7:$B$30,MATCH(B13,Configurações!$A$7:$A$30,0)),"?"))</f>
        <v/>
      </c>
      <c r="G13" s="25" t="str">
        <f aca="false">IF(A13="","",A13-WEEKDAY(A13,2)+1)</f>
        <v/>
      </c>
      <c r="H13" s="26" t="str">
        <f aca="false">IF(A13="","",DATE(YEAR(A13),MONTH(A13),1))</f>
        <v/>
      </c>
    </row>
    <row r="14" customFormat="false" ht="15" hidden="false" customHeight="false" outlineLevel="0" collapsed="false">
      <c r="A14" s="22"/>
      <c r="B14" s="23"/>
      <c r="C14" s="23"/>
      <c r="D14" s="24"/>
      <c r="E14" s="23"/>
      <c r="F14" s="15" t="str">
        <f aca="false">IF(B14="","",IFERROR(INDEX(Configurações!$B$7:$B$30,MATCH(B14,Configurações!$A$7:$A$30,0)),"?"))</f>
        <v/>
      </c>
      <c r="G14" s="25" t="str">
        <f aca="false">IF(A14="","",A14-WEEKDAY(A14,2)+1)</f>
        <v/>
      </c>
      <c r="H14" s="26" t="str">
        <f aca="false">IF(A14="","",DATE(YEAR(A14),MONTH(A14),1))</f>
        <v/>
      </c>
    </row>
    <row r="15" customFormat="false" ht="15" hidden="false" customHeight="false" outlineLevel="0" collapsed="false">
      <c r="A15" s="22"/>
      <c r="B15" s="23"/>
      <c r="C15" s="23"/>
      <c r="D15" s="24"/>
      <c r="E15" s="23"/>
      <c r="F15" s="15" t="str">
        <f aca="false">IF(B15="","",IFERROR(INDEX(Configurações!$B$7:$B$30,MATCH(B15,Configurações!$A$7:$A$30,0)),"?"))</f>
        <v/>
      </c>
      <c r="G15" s="25" t="str">
        <f aca="false">IF(A15="","",A15-WEEKDAY(A15,2)+1)</f>
        <v/>
      </c>
      <c r="H15" s="26" t="str">
        <f aca="false">IF(A15="","",DATE(YEAR(A15),MONTH(A15),1))</f>
        <v/>
      </c>
    </row>
    <row r="16" customFormat="false" ht="15" hidden="false" customHeight="false" outlineLevel="0" collapsed="false">
      <c r="A16" s="22"/>
      <c r="B16" s="23"/>
      <c r="C16" s="23"/>
      <c r="D16" s="24"/>
      <c r="E16" s="23"/>
      <c r="F16" s="15" t="str">
        <f aca="false">IF(B16="","",IFERROR(INDEX(Configurações!$B$7:$B$30,MATCH(B16,Configurações!$A$7:$A$30,0)),"?"))</f>
        <v/>
      </c>
      <c r="G16" s="25" t="str">
        <f aca="false">IF(A16="","",A16-WEEKDAY(A16,2)+1)</f>
        <v/>
      </c>
      <c r="H16" s="26" t="str">
        <f aca="false">IF(A16="","",DATE(YEAR(A16),MONTH(A16),1))</f>
        <v/>
      </c>
    </row>
    <row r="17" customFormat="false" ht="15" hidden="false" customHeight="false" outlineLevel="0" collapsed="false">
      <c r="A17" s="22"/>
      <c r="B17" s="23"/>
      <c r="C17" s="23"/>
      <c r="D17" s="24"/>
      <c r="E17" s="23"/>
      <c r="F17" s="15" t="str">
        <f aca="false">IF(B17="","",IFERROR(INDEX(Configurações!$B$7:$B$30,MATCH(B17,Configurações!$A$7:$A$30,0)),"?"))</f>
        <v/>
      </c>
      <c r="G17" s="25" t="str">
        <f aca="false">IF(A17="","",A17-WEEKDAY(A17,2)+1)</f>
        <v/>
      </c>
      <c r="H17" s="26" t="str">
        <f aca="false">IF(A17="","",DATE(YEAR(A17),MONTH(A17),1))</f>
        <v/>
      </c>
    </row>
    <row r="18" customFormat="false" ht="15" hidden="false" customHeight="false" outlineLevel="0" collapsed="false">
      <c r="A18" s="22"/>
      <c r="B18" s="23"/>
      <c r="C18" s="23"/>
      <c r="D18" s="24"/>
      <c r="E18" s="23"/>
      <c r="F18" s="15" t="str">
        <f aca="false">IF(B18="","",IFERROR(INDEX(Configurações!$B$7:$B$30,MATCH(B18,Configurações!$A$7:$A$30,0)),"?"))</f>
        <v/>
      </c>
      <c r="G18" s="25" t="str">
        <f aca="false">IF(A18="","",A18-WEEKDAY(A18,2)+1)</f>
        <v/>
      </c>
      <c r="H18" s="26" t="str">
        <f aca="false">IF(A18="","",DATE(YEAR(A18),MONTH(A18),1))</f>
        <v/>
      </c>
    </row>
    <row r="19" customFormat="false" ht="15" hidden="false" customHeight="false" outlineLevel="0" collapsed="false">
      <c r="A19" s="22"/>
      <c r="B19" s="23"/>
      <c r="C19" s="23"/>
      <c r="D19" s="24"/>
      <c r="E19" s="23"/>
      <c r="F19" s="15" t="str">
        <f aca="false">IF(B19="","",IFERROR(INDEX(Configurações!$B$7:$B$30,MATCH(B19,Configurações!$A$7:$A$30,0)),"?"))</f>
        <v/>
      </c>
      <c r="G19" s="25" t="str">
        <f aca="false">IF(A19="","",A19-WEEKDAY(A19,2)+1)</f>
        <v/>
      </c>
      <c r="H19" s="26" t="str">
        <f aca="false">IF(A19="","",DATE(YEAR(A19),MONTH(A19),1))</f>
        <v/>
      </c>
    </row>
    <row r="20" customFormat="false" ht="15" hidden="false" customHeight="false" outlineLevel="0" collapsed="false">
      <c r="A20" s="22"/>
      <c r="B20" s="23"/>
      <c r="C20" s="23"/>
      <c r="D20" s="24"/>
      <c r="E20" s="23"/>
      <c r="F20" s="15" t="str">
        <f aca="false">IF(B20="","",IFERROR(INDEX(Configurações!$B$7:$B$30,MATCH(B20,Configurações!$A$7:$A$30,0)),"?"))</f>
        <v/>
      </c>
      <c r="G20" s="25" t="str">
        <f aca="false">IF(A20="","",A20-WEEKDAY(A20,2)+1)</f>
        <v/>
      </c>
      <c r="H20" s="26" t="str">
        <f aca="false">IF(A20="","",DATE(YEAR(A20),MONTH(A20),1))</f>
        <v/>
      </c>
    </row>
    <row r="21" customFormat="false" ht="15" hidden="false" customHeight="false" outlineLevel="0" collapsed="false">
      <c r="A21" s="22"/>
      <c r="B21" s="23"/>
      <c r="C21" s="23"/>
      <c r="D21" s="24"/>
      <c r="E21" s="23"/>
      <c r="F21" s="15" t="str">
        <f aca="false">IF(B21="","",IFERROR(INDEX(Configurações!$B$7:$B$30,MATCH(B21,Configurações!$A$7:$A$30,0)),"?"))</f>
        <v/>
      </c>
      <c r="G21" s="25" t="str">
        <f aca="false">IF(A21="","",A21-WEEKDAY(A21,2)+1)</f>
        <v/>
      </c>
      <c r="H21" s="26" t="str">
        <f aca="false">IF(A21="","",DATE(YEAR(A21),MONTH(A21),1))</f>
        <v/>
      </c>
    </row>
    <row r="22" customFormat="false" ht="15" hidden="false" customHeight="false" outlineLevel="0" collapsed="false">
      <c r="A22" s="22"/>
      <c r="B22" s="23"/>
      <c r="C22" s="23"/>
      <c r="D22" s="24"/>
      <c r="E22" s="23"/>
      <c r="F22" s="15" t="str">
        <f aca="false">IF(B22="","",IFERROR(INDEX(Configurações!$B$7:$B$30,MATCH(B22,Configurações!$A$7:$A$30,0)),"?"))</f>
        <v/>
      </c>
      <c r="G22" s="25" t="str">
        <f aca="false">IF(A22="","",A22-WEEKDAY(A22,2)+1)</f>
        <v/>
      </c>
      <c r="H22" s="26" t="str">
        <f aca="false">IF(A22="","",DATE(YEAR(A22),MONTH(A22),1))</f>
        <v/>
      </c>
    </row>
    <row r="23" customFormat="false" ht="15" hidden="false" customHeight="false" outlineLevel="0" collapsed="false">
      <c r="A23" s="22"/>
      <c r="B23" s="23"/>
      <c r="C23" s="23"/>
      <c r="D23" s="24"/>
      <c r="E23" s="23"/>
      <c r="F23" s="15" t="str">
        <f aca="false">IF(B23="","",IFERROR(INDEX(Configurações!$B$7:$B$30,MATCH(B23,Configurações!$A$7:$A$30,0)),"?"))</f>
        <v/>
      </c>
      <c r="G23" s="25" t="str">
        <f aca="false">IF(A23="","",A23-WEEKDAY(A23,2)+1)</f>
        <v/>
      </c>
      <c r="H23" s="26" t="str">
        <f aca="false">IF(A23="","",DATE(YEAR(A23),MONTH(A23),1))</f>
        <v/>
      </c>
    </row>
    <row r="24" customFormat="false" ht="15" hidden="false" customHeight="false" outlineLevel="0" collapsed="false">
      <c r="A24" s="22"/>
      <c r="B24" s="23"/>
      <c r="C24" s="23"/>
      <c r="D24" s="24"/>
      <c r="E24" s="23"/>
      <c r="F24" s="15" t="str">
        <f aca="false">IF(B24="","",IFERROR(INDEX(Configurações!$B$7:$B$30,MATCH(B24,Configurações!$A$7:$A$30,0)),"?"))</f>
        <v/>
      </c>
      <c r="G24" s="25" t="str">
        <f aca="false">IF(A24="","",A24-WEEKDAY(A24,2)+1)</f>
        <v/>
      </c>
      <c r="H24" s="26" t="str">
        <f aca="false">IF(A24="","",DATE(YEAR(A24),MONTH(A24),1))</f>
        <v/>
      </c>
    </row>
    <row r="25" customFormat="false" ht="15" hidden="false" customHeight="false" outlineLevel="0" collapsed="false">
      <c r="A25" s="22"/>
      <c r="B25" s="23"/>
      <c r="C25" s="23"/>
      <c r="D25" s="24"/>
      <c r="E25" s="23"/>
      <c r="F25" s="15" t="str">
        <f aca="false">IF(B25="","",IFERROR(INDEX(Configurações!$B$7:$B$30,MATCH(B25,Configurações!$A$7:$A$30,0)),"?"))</f>
        <v/>
      </c>
      <c r="G25" s="25" t="str">
        <f aca="false">IF(A25="","",A25-WEEKDAY(A25,2)+1)</f>
        <v/>
      </c>
      <c r="H25" s="26" t="str">
        <f aca="false">IF(A25="","",DATE(YEAR(A25),MONTH(A25),1))</f>
        <v/>
      </c>
    </row>
    <row r="26" customFormat="false" ht="15" hidden="false" customHeight="false" outlineLevel="0" collapsed="false">
      <c r="A26" s="22"/>
      <c r="B26" s="23"/>
      <c r="C26" s="23"/>
      <c r="D26" s="24"/>
      <c r="E26" s="23"/>
      <c r="F26" s="15" t="str">
        <f aca="false">IF(B26="","",IFERROR(INDEX(Configurações!$B$7:$B$30,MATCH(B26,Configurações!$A$7:$A$30,0)),"?"))</f>
        <v/>
      </c>
      <c r="G26" s="25" t="str">
        <f aca="false">IF(A26="","",A26-WEEKDAY(A26,2)+1)</f>
        <v/>
      </c>
      <c r="H26" s="26" t="str">
        <f aca="false">IF(A26="","",DATE(YEAR(A26),MONTH(A26),1))</f>
        <v/>
      </c>
    </row>
    <row r="27" customFormat="false" ht="15" hidden="false" customHeight="false" outlineLevel="0" collapsed="false">
      <c r="A27" s="22"/>
      <c r="B27" s="23"/>
      <c r="C27" s="23"/>
      <c r="D27" s="24"/>
      <c r="E27" s="23"/>
      <c r="F27" s="15" t="str">
        <f aca="false">IF(B27="","",IFERROR(INDEX(Configurações!$B$7:$B$30,MATCH(B27,Configurações!$A$7:$A$30,0)),"?"))</f>
        <v/>
      </c>
      <c r="G27" s="25" t="str">
        <f aca="false">IF(A27="","",A27-WEEKDAY(A27,2)+1)</f>
        <v/>
      </c>
      <c r="H27" s="26" t="str">
        <f aca="false">IF(A27="","",DATE(YEAR(A27),MONTH(A27),1))</f>
        <v/>
      </c>
    </row>
    <row r="28" customFormat="false" ht="15" hidden="false" customHeight="false" outlineLevel="0" collapsed="false">
      <c r="A28" s="22"/>
      <c r="B28" s="23"/>
      <c r="C28" s="23"/>
      <c r="D28" s="24"/>
      <c r="E28" s="23"/>
      <c r="F28" s="15" t="str">
        <f aca="false">IF(B28="","",IFERROR(INDEX(Configurações!$B$7:$B$30,MATCH(B28,Configurações!$A$7:$A$30,0)),"?"))</f>
        <v/>
      </c>
      <c r="G28" s="25" t="str">
        <f aca="false">IF(A28="","",A28-WEEKDAY(A28,2)+1)</f>
        <v/>
      </c>
      <c r="H28" s="26" t="str">
        <f aca="false">IF(A28="","",DATE(YEAR(A28),MONTH(A28),1))</f>
        <v/>
      </c>
    </row>
    <row r="29" customFormat="false" ht="15" hidden="false" customHeight="false" outlineLevel="0" collapsed="false">
      <c r="A29" s="22"/>
      <c r="B29" s="23"/>
      <c r="C29" s="23"/>
      <c r="D29" s="24"/>
      <c r="E29" s="23"/>
      <c r="F29" s="15" t="str">
        <f aca="false">IF(B29="","",IFERROR(INDEX(Configurações!$B$7:$B$30,MATCH(B29,Configurações!$A$7:$A$30,0)),"?"))</f>
        <v/>
      </c>
      <c r="G29" s="25" t="str">
        <f aca="false">IF(A29="","",A29-WEEKDAY(A29,2)+1)</f>
        <v/>
      </c>
      <c r="H29" s="26" t="str">
        <f aca="false">IF(A29="","",DATE(YEAR(A29),MONTH(A29),1))</f>
        <v/>
      </c>
    </row>
    <row r="30" customFormat="false" ht="15" hidden="false" customHeight="false" outlineLevel="0" collapsed="false">
      <c r="A30" s="22"/>
      <c r="B30" s="23"/>
      <c r="C30" s="23"/>
      <c r="D30" s="24"/>
      <c r="E30" s="23"/>
      <c r="F30" s="15" t="str">
        <f aca="false">IF(B30="","",IFERROR(INDEX(Configurações!$B$7:$B$30,MATCH(B30,Configurações!$A$7:$A$30,0)),"?"))</f>
        <v/>
      </c>
      <c r="G30" s="25" t="str">
        <f aca="false">IF(A30="","",A30-WEEKDAY(A30,2)+1)</f>
        <v/>
      </c>
      <c r="H30" s="26" t="str">
        <f aca="false">IF(A30="","",DATE(YEAR(A30),MONTH(A30),1))</f>
        <v/>
      </c>
    </row>
    <row r="31" customFormat="false" ht="15" hidden="false" customHeight="false" outlineLevel="0" collapsed="false">
      <c r="A31" s="22"/>
      <c r="B31" s="23"/>
      <c r="C31" s="23"/>
      <c r="D31" s="24"/>
      <c r="E31" s="23"/>
      <c r="F31" s="15" t="str">
        <f aca="false">IF(B31="","",IFERROR(INDEX(Configurações!$B$7:$B$30,MATCH(B31,Configurações!$A$7:$A$30,0)),"?"))</f>
        <v/>
      </c>
      <c r="G31" s="25" t="str">
        <f aca="false">IF(A31="","",A31-WEEKDAY(A31,2)+1)</f>
        <v/>
      </c>
      <c r="H31" s="26" t="str">
        <f aca="false">IF(A31="","",DATE(YEAR(A31),MONTH(A31),1))</f>
        <v/>
      </c>
    </row>
    <row r="32" customFormat="false" ht="15" hidden="false" customHeight="false" outlineLevel="0" collapsed="false">
      <c r="A32" s="22"/>
      <c r="B32" s="23"/>
      <c r="C32" s="23"/>
      <c r="D32" s="24"/>
      <c r="E32" s="23"/>
      <c r="F32" s="15" t="str">
        <f aca="false">IF(B32="","",IFERROR(INDEX(Configurações!$B$7:$B$30,MATCH(B32,Configurações!$A$7:$A$30,0)),"?"))</f>
        <v/>
      </c>
      <c r="G32" s="25" t="str">
        <f aca="false">IF(A32="","",A32-WEEKDAY(A32,2)+1)</f>
        <v/>
      </c>
      <c r="H32" s="26" t="str">
        <f aca="false">IF(A32="","",DATE(YEAR(A32),MONTH(A32),1))</f>
        <v/>
      </c>
    </row>
    <row r="33" customFormat="false" ht="15" hidden="false" customHeight="false" outlineLevel="0" collapsed="false">
      <c r="A33" s="22"/>
      <c r="B33" s="23"/>
      <c r="C33" s="23"/>
      <c r="D33" s="24"/>
      <c r="E33" s="23"/>
      <c r="F33" s="15" t="str">
        <f aca="false">IF(B33="","",IFERROR(INDEX(Configurações!$B$7:$B$30,MATCH(B33,Configurações!$A$7:$A$30,0)),"?"))</f>
        <v/>
      </c>
      <c r="G33" s="25" t="str">
        <f aca="false">IF(A33="","",A33-WEEKDAY(A33,2)+1)</f>
        <v/>
      </c>
      <c r="H33" s="26" t="str">
        <f aca="false">IF(A33="","",DATE(YEAR(A33),MONTH(A33),1))</f>
        <v/>
      </c>
    </row>
    <row r="34" customFormat="false" ht="15" hidden="false" customHeight="false" outlineLevel="0" collapsed="false">
      <c r="A34" s="22"/>
      <c r="B34" s="23"/>
      <c r="C34" s="23"/>
      <c r="D34" s="24"/>
      <c r="E34" s="23"/>
      <c r="F34" s="15" t="str">
        <f aca="false">IF(B34="","",IFERROR(INDEX(Configurações!$B$7:$B$30,MATCH(B34,Configurações!$A$7:$A$30,0)),"?"))</f>
        <v/>
      </c>
      <c r="G34" s="25" t="str">
        <f aca="false">IF(A34="","",A34-WEEKDAY(A34,2)+1)</f>
        <v/>
      </c>
      <c r="H34" s="26" t="str">
        <f aca="false">IF(A34="","",DATE(YEAR(A34),MONTH(A34),1))</f>
        <v/>
      </c>
    </row>
    <row r="35" customFormat="false" ht="15" hidden="false" customHeight="false" outlineLevel="0" collapsed="false">
      <c r="A35" s="22"/>
      <c r="B35" s="23"/>
      <c r="C35" s="23"/>
      <c r="D35" s="24"/>
      <c r="E35" s="23"/>
      <c r="F35" s="15" t="str">
        <f aca="false">IF(B35="","",IFERROR(INDEX(Configurações!$B$7:$B$30,MATCH(B35,Configurações!$A$7:$A$30,0)),"?"))</f>
        <v/>
      </c>
      <c r="G35" s="25" t="str">
        <f aca="false">IF(A35="","",A35-WEEKDAY(A35,2)+1)</f>
        <v/>
      </c>
      <c r="H35" s="26" t="str">
        <f aca="false">IF(A35="","",DATE(YEAR(A35),MONTH(A35),1))</f>
        <v/>
      </c>
    </row>
    <row r="36" customFormat="false" ht="15" hidden="false" customHeight="false" outlineLevel="0" collapsed="false">
      <c r="A36" s="22"/>
      <c r="B36" s="23"/>
      <c r="C36" s="23"/>
      <c r="D36" s="24"/>
      <c r="E36" s="23"/>
      <c r="F36" s="15" t="str">
        <f aca="false">IF(B36="","",IFERROR(INDEX(Configurações!$B$7:$B$30,MATCH(B36,Configurações!$A$7:$A$30,0)),"?"))</f>
        <v/>
      </c>
      <c r="G36" s="25" t="str">
        <f aca="false">IF(A36="","",A36-WEEKDAY(A36,2)+1)</f>
        <v/>
      </c>
      <c r="H36" s="26" t="str">
        <f aca="false">IF(A36="","",DATE(YEAR(A36),MONTH(A36),1))</f>
        <v/>
      </c>
    </row>
    <row r="37" customFormat="false" ht="15" hidden="false" customHeight="false" outlineLevel="0" collapsed="false">
      <c r="A37" s="22"/>
      <c r="B37" s="23"/>
      <c r="C37" s="23"/>
      <c r="D37" s="24"/>
      <c r="E37" s="23"/>
      <c r="F37" s="15" t="str">
        <f aca="false">IF(B37="","",IFERROR(INDEX(Configurações!$B$7:$B$30,MATCH(B37,Configurações!$A$7:$A$30,0)),"?"))</f>
        <v/>
      </c>
      <c r="G37" s="25" t="str">
        <f aca="false">IF(A37="","",A37-WEEKDAY(A37,2)+1)</f>
        <v/>
      </c>
      <c r="H37" s="26" t="str">
        <f aca="false">IF(A37="","",DATE(YEAR(A37),MONTH(A37),1))</f>
        <v/>
      </c>
    </row>
    <row r="38" customFormat="false" ht="15" hidden="false" customHeight="false" outlineLevel="0" collapsed="false">
      <c r="A38" s="22"/>
      <c r="B38" s="23"/>
      <c r="C38" s="23"/>
      <c r="D38" s="24"/>
      <c r="E38" s="23"/>
      <c r="F38" s="15" t="str">
        <f aca="false">IF(B38="","",IFERROR(INDEX(Configurações!$B$7:$B$30,MATCH(B38,Configurações!$A$7:$A$30,0)),"?"))</f>
        <v/>
      </c>
      <c r="G38" s="25" t="str">
        <f aca="false">IF(A38="","",A38-WEEKDAY(A38,2)+1)</f>
        <v/>
      </c>
      <c r="H38" s="26" t="str">
        <f aca="false">IF(A38="","",DATE(YEAR(A38),MONTH(A38),1))</f>
        <v/>
      </c>
    </row>
    <row r="39" customFormat="false" ht="15" hidden="false" customHeight="false" outlineLevel="0" collapsed="false">
      <c r="A39" s="22"/>
      <c r="B39" s="23"/>
      <c r="C39" s="23"/>
      <c r="D39" s="24"/>
      <c r="E39" s="23"/>
      <c r="F39" s="15" t="str">
        <f aca="false">IF(B39="","",IFERROR(INDEX(Configurações!$B$7:$B$30,MATCH(B39,Configurações!$A$7:$A$30,0)),"?"))</f>
        <v/>
      </c>
      <c r="G39" s="25" t="str">
        <f aca="false">IF(A39="","",A39-WEEKDAY(A39,2)+1)</f>
        <v/>
      </c>
      <c r="H39" s="26" t="str">
        <f aca="false">IF(A39="","",DATE(YEAR(A39),MONTH(A39),1))</f>
        <v/>
      </c>
    </row>
    <row r="40" customFormat="false" ht="15" hidden="false" customHeight="false" outlineLevel="0" collapsed="false">
      <c r="A40" s="22"/>
      <c r="B40" s="23"/>
      <c r="C40" s="23"/>
      <c r="D40" s="24"/>
      <c r="E40" s="23"/>
      <c r="F40" s="15" t="str">
        <f aca="false">IF(B40="","",IFERROR(INDEX(Configurações!$B$7:$B$30,MATCH(B40,Configurações!$A$7:$A$30,0)),"?"))</f>
        <v/>
      </c>
      <c r="G40" s="25" t="str">
        <f aca="false">IF(A40="","",A40-WEEKDAY(A40,2)+1)</f>
        <v/>
      </c>
      <c r="H40" s="26" t="str">
        <f aca="false">IF(A40="","",DATE(YEAR(A40),MONTH(A40),1))</f>
        <v/>
      </c>
    </row>
    <row r="41" customFormat="false" ht="15" hidden="false" customHeight="false" outlineLevel="0" collapsed="false">
      <c r="A41" s="22"/>
      <c r="B41" s="23"/>
      <c r="C41" s="23"/>
      <c r="D41" s="24"/>
      <c r="E41" s="23"/>
      <c r="F41" s="15" t="str">
        <f aca="false">IF(B41="","",IFERROR(INDEX(Configurações!$B$7:$B$30,MATCH(B41,Configurações!$A$7:$A$30,0)),"?"))</f>
        <v/>
      </c>
      <c r="G41" s="25" t="str">
        <f aca="false">IF(A41="","",A41-WEEKDAY(A41,2)+1)</f>
        <v/>
      </c>
      <c r="H41" s="26" t="str">
        <f aca="false">IF(A41="","",DATE(YEAR(A41),MONTH(A41),1))</f>
        <v/>
      </c>
    </row>
    <row r="42" customFormat="false" ht="15" hidden="false" customHeight="false" outlineLevel="0" collapsed="false">
      <c r="A42" s="22"/>
      <c r="B42" s="23"/>
      <c r="C42" s="23"/>
      <c r="D42" s="24"/>
      <c r="E42" s="23"/>
      <c r="F42" s="15" t="str">
        <f aca="false">IF(B42="","",IFERROR(INDEX(Configurações!$B$7:$B$30,MATCH(B42,Configurações!$A$7:$A$30,0)),"?"))</f>
        <v/>
      </c>
      <c r="G42" s="25" t="str">
        <f aca="false">IF(A42="","",A42-WEEKDAY(A42,2)+1)</f>
        <v/>
      </c>
      <c r="H42" s="26" t="str">
        <f aca="false">IF(A42="","",DATE(YEAR(A42),MONTH(A42),1))</f>
        <v/>
      </c>
    </row>
    <row r="43" customFormat="false" ht="15" hidden="false" customHeight="false" outlineLevel="0" collapsed="false">
      <c r="A43" s="22"/>
      <c r="B43" s="23"/>
      <c r="C43" s="23"/>
      <c r="D43" s="24"/>
      <c r="E43" s="23"/>
      <c r="F43" s="15" t="str">
        <f aca="false">IF(B43="","",IFERROR(INDEX(Configurações!$B$7:$B$30,MATCH(B43,Configurações!$A$7:$A$30,0)),"?"))</f>
        <v/>
      </c>
      <c r="G43" s="25" t="str">
        <f aca="false">IF(A43="","",A43-WEEKDAY(A43,2)+1)</f>
        <v/>
      </c>
      <c r="H43" s="26" t="str">
        <f aca="false">IF(A43="","",DATE(YEAR(A43),MONTH(A43),1))</f>
        <v/>
      </c>
    </row>
    <row r="44" customFormat="false" ht="15" hidden="false" customHeight="false" outlineLevel="0" collapsed="false">
      <c r="A44" s="22"/>
      <c r="B44" s="23"/>
      <c r="C44" s="23"/>
      <c r="D44" s="24"/>
      <c r="E44" s="23"/>
      <c r="F44" s="15" t="str">
        <f aca="false">IF(B44="","",IFERROR(INDEX(Configurações!$B$7:$B$30,MATCH(B44,Configurações!$A$7:$A$30,0)),"?"))</f>
        <v/>
      </c>
      <c r="G44" s="25" t="str">
        <f aca="false">IF(A44="","",A44-WEEKDAY(A44,2)+1)</f>
        <v/>
      </c>
      <c r="H44" s="26" t="str">
        <f aca="false">IF(A44="","",DATE(YEAR(A44),MONTH(A44),1))</f>
        <v/>
      </c>
    </row>
    <row r="45" customFormat="false" ht="15" hidden="false" customHeight="false" outlineLevel="0" collapsed="false">
      <c r="A45" s="22"/>
      <c r="B45" s="23"/>
      <c r="C45" s="23"/>
      <c r="D45" s="24"/>
      <c r="E45" s="23"/>
      <c r="F45" s="15" t="str">
        <f aca="false">IF(B45="","",IFERROR(INDEX(Configurações!$B$7:$B$30,MATCH(B45,Configurações!$A$7:$A$30,0)),"?"))</f>
        <v/>
      </c>
      <c r="G45" s="25" t="str">
        <f aca="false">IF(A45="","",A45-WEEKDAY(A45,2)+1)</f>
        <v/>
      </c>
      <c r="H45" s="26" t="str">
        <f aca="false">IF(A45="","",DATE(YEAR(A45),MONTH(A45),1))</f>
        <v/>
      </c>
    </row>
    <row r="46" customFormat="false" ht="15" hidden="false" customHeight="false" outlineLevel="0" collapsed="false">
      <c r="A46" s="22"/>
      <c r="B46" s="23"/>
      <c r="C46" s="23"/>
      <c r="D46" s="24"/>
      <c r="E46" s="23"/>
      <c r="F46" s="15" t="str">
        <f aca="false">IF(B46="","",IFERROR(INDEX(Configurações!$B$7:$B$30,MATCH(B46,Configurações!$A$7:$A$30,0)),"?"))</f>
        <v/>
      </c>
      <c r="G46" s="25" t="str">
        <f aca="false">IF(A46="","",A46-WEEKDAY(A46,2)+1)</f>
        <v/>
      </c>
      <c r="H46" s="26" t="str">
        <f aca="false">IF(A46="","",DATE(YEAR(A46),MONTH(A46),1))</f>
        <v/>
      </c>
    </row>
    <row r="47" customFormat="false" ht="15" hidden="false" customHeight="false" outlineLevel="0" collapsed="false">
      <c r="A47" s="22"/>
      <c r="B47" s="23"/>
      <c r="C47" s="23"/>
      <c r="D47" s="24"/>
      <c r="E47" s="23"/>
      <c r="F47" s="15" t="str">
        <f aca="false">IF(B47="","",IFERROR(INDEX(Configurações!$B$7:$B$30,MATCH(B47,Configurações!$A$7:$A$30,0)),"?"))</f>
        <v/>
      </c>
      <c r="G47" s="25" t="str">
        <f aca="false">IF(A47="","",A47-WEEKDAY(A47,2)+1)</f>
        <v/>
      </c>
      <c r="H47" s="26" t="str">
        <f aca="false">IF(A47="","",DATE(YEAR(A47),MONTH(A47),1))</f>
        <v/>
      </c>
    </row>
    <row r="48" customFormat="false" ht="15" hidden="false" customHeight="false" outlineLevel="0" collapsed="false">
      <c r="A48" s="22"/>
      <c r="B48" s="23"/>
      <c r="C48" s="23"/>
      <c r="D48" s="24"/>
      <c r="E48" s="23"/>
      <c r="F48" s="15" t="str">
        <f aca="false">IF(B48="","",IFERROR(INDEX(Configurações!$B$7:$B$30,MATCH(B48,Configurações!$A$7:$A$30,0)),"?"))</f>
        <v/>
      </c>
      <c r="G48" s="25" t="str">
        <f aca="false">IF(A48="","",A48-WEEKDAY(A48,2)+1)</f>
        <v/>
      </c>
      <c r="H48" s="26" t="str">
        <f aca="false">IF(A48="","",DATE(YEAR(A48),MONTH(A48),1))</f>
        <v/>
      </c>
    </row>
    <row r="49" customFormat="false" ht="15" hidden="false" customHeight="false" outlineLevel="0" collapsed="false">
      <c r="A49" s="22"/>
      <c r="B49" s="23"/>
      <c r="C49" s="23"/>
      <c r="D49" s="24"/>
      <c r="E49" s="23"/>
      <c r="F49" s="15" t="str">
        <f aca="false">IF(B49="","",IFERROR(INDEX(Configurações!$B$7:$B$30,MATCH(B49,Configurações!$A$7:$A$30,0)),"?"))</f>
        <v/>
      </c>
      <c r="G49" s="25" t="str">
        <f aca="false">IF(A49="","",A49-WEEKDAY(A49,2)+1)</f>
        <v/>
      </c>
      <c r="H49" s="26" t="str">
        <f aca="false">IF(A49="","",DATE(YEAR(A49),MONTH(A49),1))</f>
        <v/>
      </c>
    </row>
    <row r="50" customFormat="false" ht="15" hidden="false" customHeight="false" outlineLevel="0" collapsed="false">
      <c r="A50" s="22"/>
      <c r="B50" s="23"/>
      <c r="C50" s="23"/>
      <c r="D50" s="24"/>
      <c r="E50" s="23"/>
      <c r="F50" s="15" t="str">
        <f aca="false">IF(B50="","",IFERROR(INDEX(Configurações!$B$7:$B$30,MATCH(B50,Configurações!$A$7:$A$30,0)),"?"))</f>
        <v/>
      </c>
      <c r="G50" s="25" t="str">
        <f aca="false">IF(A50="","",A50-WEEKDAY(A50,2)+1)</f>
        <v/>
      </c>
      <c r="H50" s="26" t="str">
        <f aca="false">IF(A50="","",DATE(YEAR(A50),MONTH(A50),1))</f>
        <v/>
      </c>
    </row>
    <row r="51" customFormat="false" ht="15" hidden="false" customHeight="false" outlineLevel="0" collapsed="false">
      <c r="A51" s="22"/>
      <c r="B51" s="23"/>
      <c r="C51" s="23"/>
      <c r="D51" s="24"/>
      <c r="E51" s="23"/>
      <c r="F51" s="15" t="str">
        <f aca="false">IF(B51="","",IFERROR(INDEX(Configurações!$B$7:$B$30,MATCH(B51,Configurações!$A$7:$A$30,0)),"?"))</f>
        <v/>
      </c>
      <c r="G51" s="25" t="str">
        <f aca="false">IF(A51="","",A51-WEEKDAY(A51,2)+1)</f>
        <v/>
      </c>
      <c r="H51" s="26" t="str">
        <f aca="false">IF(A51="","",DATE(YEAR(A51),MONTH(A51),1))</f>
        <v/>
      </c>
    </row>
    <row r="52" customFormat="false" ht="15" hidden="false" customHeight="false" outlineLevel="0" collapsed="false">
      <c r="A52" s="22"/>
      <c r="B52" s="23"/>
      <c r="C52" s="23"/>
      <c r="D52" s="24"/>
      <c r="E52" s="23"/>
      <c r="F52" s="15" t="str">
        <f aca="false">IF(B52="","",IFERROR(INDEX(Configurações!$B$7:$B$30,MATCH(B52,Configurações!$A$7:$A$30,0)),"?"))</f>
        <v/>
      </c>
      <c r="G52" s="25" t="str">
        <f aca="false">IF(A52="","",A52-WEEKDAY(A52,2)+1)</f>
        <v/>
      </c>
      <c r="H52" s="26" t="str">
        <f aca="false">IF(A52="","",DATE(YEAR(A52),MONTH(A52),1))</f>
        <v/>
      </c>
    </row>
    <row r="53" customFormat="false" ht="15" hidden="false" customHeight="false" outlineLevel="0" collapsed="false">
      <c r="A53" s="22"/>
      <c r="B53" s="23"/>
      <c r="C53" s="23"/>
      <c r="D53" s="24"/>
      <c r="E53" s="23"/>
      <c r="F53" s="15" t="str">
        <f aca="false">IF(B53="","",IFERROR(INDEX(Configurações!$B$7:$B$30,MATCH(B53,Configurações!$A$7:$A$30,0)),"?"))</f>
        <v/>
      </c>
      <c r="G53" s="25" t="str">
        <f aca="false">IF(A53="","",A53-WEEKDAY(A53,2)+1)</f>
        <v/>
      </c>
      <c r="H53" s="26" t="str">
        <f aca="false">IF(A53="","",DATE(YEAR(A53),MONTH(A53),1))</f>
        <v/>
      </c>
    </row>
    <row r="54" customFormat="false" ht="15" hidden="false" customHeight="false" outlineLevel="0" collapsed="false">
      <c r="A54" s="22"/>
      <c r="B54" s="23"/>
      <c r="C54" s="23"/>
      <c r="D54" s="24"/>
      <c r="E54" s="23"/>
      <c r="F54" s="15" t="str">
        <f aca="false">IF(B54="","",IFERROR(INDEX(Configurações!$B$7:$B$30,MATCH(B54,Configurações!$A$7:$A$30,0)),"?"))</f>
        <v/>
      </c>
      <c r="G54" s="25" t="str">
        <f aca="false">IF(A54="","",A54-WEEKDAY(A54,2)+1)</f>
        <v/>
      </c>
      <c r="H54" s="26" t="str">
        <f aca="false">IF(A54="","",DATE(YEAR(A54),MONTH(A54),1))</f>
        <v/>
      </c>
    </row>
    <row r="55" customFormat="false" ht="15" hidden="false" customHeight="false" outlineLevel="0" collapsed="false">
      <c r="A55" s="22"/>
      <c r="B55" s="23"/>
      <c r="C55" s="23"/>
      <c r="D55" s="24"/>
      <c r="E55" s="23"/>
      <c r="F55" s="15" t="str">
        <f aca="false">IF(B55="","",IFERROR(INDEX(Configurações!$B$7:$B$30,MATCH(B55,Configurações!$A$7:$A$30,0)),"?"))</f>
        <v/>
      </c>
      <c r="G55" s="25" t="str">
        <f aca="false">IF(A55="","",A55-WEEKDAY(A55,2)+1)</f>
        <v/>
      </c>
      <c r="H55" s="26" t="str">
        <f aca="false">IF(A55="","",DATE(YEAR(A55),MONTH(A55),1))</f>
        <v/>
      </c>
    </row>
    <row r="56" customFormat="false" ht="15" hidden="false" customHeight="false" outlineLevel="0" collapsed="false">
      <c r="A56" s="22"/>
      <c r="B56" s="23"/>
      <c r="C56" s="23"/>
      <c r="D56" s="24"/>
      <c r="E56" s="23"/>
      <c r="F56" s="15" t="str">
        <f aca="false">IF(B56="","",IFERROR(INDEX(Configurações!$B$7:$B$30,MATCH(B56,Configurações!$A$7:$A$30,0)),"?"))</f>
        <v/>
      </c>
      <c r="G56" s="25" t="str">
        <f aca="false">IF(A56="","",A56-WEEKDAY(A56,2)+1)</f>
        <v/>
      </c>
      <c r="H56" s="26" t="str">
        <f aca="false">IF(A56="","",DATE(YEAR(A56),MONTH(A56),1))</f>
        <v/>
      </c>
    </row>
    <row r="57" customFormat="false" ht="15" hidden="false" customHeight="false" outlineLevel="0" collapsed="false">
      <c r="A57" s="22"/>
      <c r="B57" s="23"/>
      <c r="C57" s="23"/>
      <c r="D57" s="24"/>
      <c r="E57" s="23"/>
      <c r="F57" s="15" t="str">
        <f aca="false">IF(B57="","",IFERROR(INDEX(Configurações!$B$7:$B$30,MATCH(B57,Configurações!$A$7:$A$30,0)),"?"))</f>
        <v/>
      </c>
      <c r="G57" s="25" t="str">
        <f aca="false">IF(A57="","",A57-WEEKDAY(A57,2)+1)</f>
        <v/>
      </c>
      <c r="H57" s="26" t="str">
        <f aca="false">IF(A57="","",DATE(YEAR(A57),MONTH(A57),1))</f>
        <v/>
      </c>
    </row>
    <row r="58" customFormat="false" ht="15" hidden="false" customHeight="false" outlineLevel="0" collapsed="false">
      <c r="A58" s="22"/>
      <c r="B58" s="23"/>
      <c r="C58" s="23"/>
      <c r="D58" s="24"/>
      <c r="E58" s="23"/>
      <c r="F58" s="15" t="str">
        <f aca="false">IF(B58="","",IFERROR(INDEX(Configurações!$B$7:$B$30,MATCH(B58,Configurações!$A$7:$A$30,0)),"?"))</f>
        <v/>
      </c>
      <c r="G58" s="25" t="str">
        <f aca="false">IF(A58="","",A58-WEEKDAY(A58,2)+1)</f>
        <v/>
      </c>
      <c r="H58" s="26" t="str">
        <f aca="false">IF(A58="","",DATE(YEAR(A58),MONTH(A58),1))</f>
        <v/>
      </c>
    </row>
    <row r="59" customFormat="false" ht="15" hidden="false" customHeight="false" outlineLevel="0" collapsed="false">
      <c r="A59" s="22"/>
      <c r="B59" s="23"/>
      <c r="C59" s="23"/>
      <c r="D59" s="24"/>
      <c r="E59" s="23"/>
      <c r="F59" s="15" t="str">
        <f aca="false">IF(B59="","",IFERROR(INDEX(Configurações!$B$7:$B$30,MATCH(B59,Configurações!$A$7:$A$30,0)),"?"))</f>
        <v/>
      </c>
      <c r="G59" s="25" t="str">
        <f aca="false">IF(A59="","",A59-WEEKDAY(A59,2)+1)</f>
        <v/>
      </c>
      <c r="H59" s="26" t="str">
        <f aca="false">IF(A59="","",DATE(YEAR(A59),MONTH(A59),1))</f>
        <v/>
      </c>
    </row>
    <row r="60" customFormat="false" ht="15" hidden="false" customHeight="false" outlineLevel="0" collapsed="false">
      <c r="A60" s="22"/>
      <c r="B60" s="23"/>
      <c r="C60" s="23"/>
      <c r="D60" s="24"/>
      <c r="E60" s="23"/>
      <c r="F60" s="15" t="str">
        <f aca="false">IF(B60="","",IFERROR(INDEX(Configurações!$B$7:$B$30,MATCH(B60,Configurações!$A$7:$A$30,0)),"?"))</f>
        <v/>
      </c>
      <c r="G60" s="25" t="str">
        <f aca="false">IF(A60="","",A60-WEEKDAY(A60,2)+1)</f>
        <v/>
      </c>
      <c r="H60" s="26" t="str">
        <f aca="false">IF(A60="","",DATE(YEAR(A60),MONTH(A60),1))</f>
        <v/>
      </c>
    </row>
    <row r="61" customFormat="false" ht="15" hidden="false" customHeight="false" outlineLevel="0" collapsed="false">
      <c r="A61" s="22"/>
      <c r="B61" s="23"/>
      <c r="C61" s="23"/>
      <c r="D61" s="24"/>
      <c r="E61" s="23"/>
      <c r="F61" s="15" t="str">
        <f aca="false">IF(B61="","",IFERROR(INDEX(Configurações!$B$7:$B$30,MATCH(B61,Configurações!$A$7:$A$30,0)),"?"))</f>
        <v/>
      </c>
      <c r="G61" s="25" t="str">
        <f aca="false">IF(A61="","",A61-WEEKDAY(A61,2)+1)</f>
        <v/>
      </c>
      <c r="H61" s="26" t="str">
        <f aca="false">IF(A61="","",DATE(YEAR(A61),MONTH(A61),1))</f>
        <v/>
      </c>
    </row>
    <row r="62" customFormat="false" ht="15" hidden="false" customHeight="false" outlineLevel="0" collapsed="false">
      <c r="A62" s="22"/>
      <c r="B62" s="23"/>
      <c r="C62" s="23"/>
      <c r="D62" s="24"/>
      <c r="E62" s="23"/>
      <c r="F62" s="15" t="str">
        <f aca="false">IF(B62="","",IFERROR(INDEX(Configurações!$B$7:$B$30,MATCH(B62,Configurações!$A$7:$A$30,0)),"?"))</f>
        <v/>
      </c>
      <c r="G62" s="25" t="str">
        <f aca="false">IF(A62="","",A62-WEEKDAY(A62,2)+1)</f>
        <v/>
      </c>
      <c r="H62" s="26" t="str">
        <f aca="false">IF(A62="","",DATE(YEAR(A62),MONTH(A62),1))</f>
        <v/>
      </c>
    </row>
    <row r="63" customFormat="false" ht="15" hidden="false" customHeight="false" outlineLevel="0" collapsed="false">
      <c r="A63" s="22"/>
      <c r="B63" s="23"/>
      <c r="C63" s="23"/>
      <c r="D63" s="24"/>
      <c r="E63" s="23"/>
      <c r="F63" s="15" t="str">
        <f aca="false">IF(B63="","",IFERROR(INDEX(Configurações!$B$7:$B$30,MATCH(B63,Configurações!$A$7:$A$30,0)),"?"))</f>
        <v/>
      </c>
      <c r="G63" s="25" t="str">
        <f aca="false">IF(A63="","",A63-WEEKDAY(A63,2)+1)</f>
        <v/>
      </c>
      <c r="H63" s="26" t="str">
        <f aca="false">IF(A63="","",DATE(YEAR(A63),MONTH(A63),1))</f>
        <v/>
      </c>
    </row>
    <row r="64" customFormat="false" ht="15" hidden="false" customHeight="false" outlineLevel="0" collapsed="false">
      <c r="A64" s="22"/>
      <c r="B64" s="23"/>
      <c r="C64" s="23"/>
      <c r="D64" s="24"/>
      <c r="E64" s="23"/>
      <c r="F64" s="15" t="str">
        <f aca="false">IF(B64="","",IFERROR(INDEX(Configurações!$B$7:$B$30,MATCH(B64,Configurações!$A$7:$A$30,0)),"?"))</f>
        <v/>
      </c>
      <c r="G64" s="25" t="str">
        <f aca="false">IF(A64="","",A64-WEEKDAY(A64,2)+1)</f>
        <v/>
      </c>
      <c r="H64" s="26" t="str">
        <f aca="false">IF(A64="","",DATE(YEAR(A64),MONTH(A64),1))</f>
        <v/>
      </c>
    </row>
    <row r="65" customFormat="false" ht="15" hidden="false" customHeight="false" outlineLevel="0" collapsed="false">
      <c r="A65" s="22"/>
      <c r="B65" s="23"/>
      <c r="C65" s="23"/>
      <c r="D65" s="24"/>
      <c r="E65" s="23"/>
      <c r="F65" s="15" t="str">
        <f aca="false">IF(B65="","",IFERROR(INDEX(Configurações!$B$7:$B$30,MATCH(B65,Configurações!$A$7:$A$30,0)),"?"))</f>
        <v/>
      </c>
      <c r="G65" s="25" t="str">
        <f aca="false">IF(A65="","",A65-WEEKDAY(A65,2)+1)</f>
        <v/>
      </c>
      <c r="H65" s="26" t="str">
        <f aca="false">IF(A65="","",DATE(YEAR(A65),MONTH(A65),1))</f>
        <v/>
      </c>
    </row>
    <row r="66" customFormat="false" ht="15" hidden="false" customHeight="false" outlineLevel="0" collapsed="false">
      <c r="A66" s="22"/>
      <c r="B66" s="23"/>
      <c r="C66" s="23"/>
      <c r="D66" s="24"/>
      <c r="E66" s="23"/>
      <c r="F66" s="15" t="str">
        <f aca="false">IF(B66="","",IFERROR(INDEX(Configurações!$B$7:$B$30,MATCH(B66,Configurações!$A$7:$A$30,0)),"?"))</f>
        <v/>
      </c>
      <c r="G66" s="25" t="str">
        <f aca="false">IF(A66="","",A66-WEEKDAY(A66,2)+1)</f>
        <v/>
      </c>
      <c r="H66" s="26" t="str">
        <f aca="false">IF(A66="","",DATE(YEAR(A66),MONTH(A66),1))</f>
        <v/>
      </c>
    </row>
    <row r="67" customFormat="false" ht="15" hidden="false" customHeight="false" outlineLevel="0" collapsed="false">
      <c r="A67" s="22"/>
      <c r="B67" s="23"/>
      <c r="C67" s="23"/>
      <c r="D67" s="24"/>
      <c r="E67" s="23"/>
      <c r="F67" s="15" t="str">
        <f aca="false">IF(B67="","",IFERROR(INDEX(Configurações!$B$7:$B$30,MATCH(B67,Configurações!$A$7:$A$30,0)),"?"))</f>
        <v/>
      </c>
      <c r="G67" s="25" t="str">
        <f aca="false">IF(A67="","",A67-WEEKDAY(A67,2)+1)</f>
        <v/>
      </c>
      <c r="H67" s="26" t="str">
        <f aca="false">IF(A67="","",DATE(YEAR(A67),MONTH(A67),1))</f>
        <v/>
      </c>
    </row>
    <row r="68" customFormat="false" ht="15" hidden="false" customHeight="false" outlineLevel="0" collapsed="false">
      <c r="A68" s="22"/>
      <c r="B68" s="23"/>
      <c r="C68" s="23"/>
      <c r="D68" s="24"/>
      <c r="E68" s="23"/>
      <c r="F68" s="15" t="str">
        <f aca="false">IF(B68="","",IFERROR(INDEX(Configurações!$B$7:$B$30,MATCH(B68,Configurações!$A$7:$A$30,0)),"?"))</f>
        <v/>
      </c>
      <c r="G68" s="25" t="str">
        <f aca="false">IF(A68="","",A68-WEEKDAY(A68,2)+1)</f>
        <v/>
      </c>
      <c r="H68" s="26" t="str">
        <f aca="false">IF(A68="","",DATE(YEAR(A68),MONTH(A68),1))</f>
        <v/>
      </c>
    </row>
    <row r="69" customFormat="false" ht="15" hidden="false" customHeight="false" outlineLevel="0" collapsed="false">
      <c r="A69" s="22"/>
      <c r="B69" s="23"/>
      <c r="C69" s="23"/>
      <c r="D69" s="24"/>
      <c r="E69" s="23"/>
      <c r="F69" s="15" t="str">
        <f aca="false">IF(B69="","",IFERROR(INDEX(Configurações!$B$7:$B$30,MATCH(B69,Configurações!$A$7:$A$30,0)),"?"))</f>
        <v/>
      </c>
      <c r="G69" s="25" t="str">
        <f aca="false">IF(A69="","",A69-WEEKDAY(A69,2)+1)</f>
        <v/>
      </c>
      <c r="H69" s="26" t="str">
        <f aca="false">IF(A69="","",DATE(YEAR(A69),MONTH(A69),1))</f>
        <v/>
      </c>
    </row>
    <row r="70" customFormat="false" ht="15" hidden="false" customHeight="false" outlineLevel="0" collapsed="false">
      <c r="A70" s="22"/>
      <c r="B70" s="23"/>
      <c r="C70" s="23"/>
      <c r="D70" s="24"/>
      <c r="E70" s="23"/>
      <c r="F70" s="15" t="str">
        <f aca="false">IF(B70="","",IFERROR(INDEX(Configurações!$B$7:$B$30,MATCH(B70,Configurações!$A$7:$A$30,0)),"?"))</f>
        <v/>
      </c>
      <c r="G70" s="25" t="str">
        <f aca="false">IF(A70="","",A70-WEEKDAY(A70,2)+1)</f>
        <v/>
      </c>
      <c r="H70" s="26" t="str">
        <f aca="false">IF(A70="","",DATE(YEAR(A70),MONTH(A70),1))</f>
        <v/>
      </c>
    </row>
    <row r="71" customFormat="false" ht="15" hidden="false" customHeight="false" outlineLevel="0" collapsed="false">
      <c r="A71" s="22"/>
      <c r="B71" s="23"/>
      <c r="C71" s="23"/>
      <c r="D71" s="24"/>
      <c r="E71" s="23"/>
      <c r="F71" s="15" t="str">
        <f aca="false">IF(B71="","",IFERROR(INDEX(Configurações!$B$7:$B$30,MATCH(B71,Configurações!$A$7:$A$30,0)),"?"))</f>
        <v/>
      </c>
      <c r="G71" s="25" t="str">
        <f aca="false">IF(A71="","",A71-WEEKDAY(A71,2)+1)</f>
        <v/>
      </c>
      <c r="H71" s="26" t="str">
        <f aca="false">IF(A71="","",DATE(YEAR(A71),MONTH(A71),1))</f>
        <v/>
      </c>
    </row>
    <row r="72" customFormat="false" ht="15" hidden="false" customHeight="false" outlineLevel="0" collapsed="false">
      <c r="A72" s="22"/>
      <c r="B72" s="23"/>
      <c r="C72" s="23"/>
      <c r="D72" s="24"/>
      <c r="E72" s="23"/>
      <c r="F72" s="15" t="str">
        <f aca="false">IF(B72="","",IFERROR(INDEX(Configurações!$B$7:$B$30,MATCH(B72,Configurações!$A$7:$A$30,0)),"?"))</f>
        <v/>
      </c>
      <c r="G72" s="25" t="str">
        <f aca="false">IF(A72="","",A72-WEEKDAY(A72,2)+1)</f>
        <v/>
      </c>
      <c r="H72" s="26" t="str">
        <f aca="false">IF(A72="","",DATE(YEAR(A72),MONTH(A72),1))</f>
        <v/>
      </c>
    </row>
    <row r="73" customFormat="false" ht="15" hidden="false" customHeight="false" outlineLevel="0" collapsed="false">
      <c r="A73" s="22"/>
      <c r="B73" s="23"/>
      <c r="C73" s="23"/>
      <c r="D73" s="24"/>
      <c r="E73" s="23"/>
      <c r="F73" s="15" t="str">
        <f aca="false">IF(B73="","",IFERROR(INDEX(Configurações!$B$7:$B$30,MATCH(B73,Configurações!$A$7:$A$30,0)),"?"))</f>
        <v/>
      </c>
      <c r="G73" s="25" t="str">
        <f aca="false">IF(A73="","",A73-WEEKDAY(A73,2)+1)</f>
        <v/>
      </c>
      <c r="H73" s="26" t="str">
        <f aca="false">IF(A73="","",DATE(YEAR(A73),MONTH(A73),1))</f>
        <v/>
      </c>
    </row>
    <row r="74" customFormat="false" ht="15" hidden="false" customHeight="false" outlineLevel="0" collapsed="false">
      <c r="A74" s="22"/>
      <c r="B74" s="23"/>
      <c r="C74" s="23"/>
      <c r="D74" s="24"/>
      <c r="E74" s="23"/>
      <c r="F74" s="15" t="str">
        <f aca="false">IF(B74="","",IFERROR(INDEX(Configurações!$B$7:$B$30,MATCH(B74,Configurações!$A$7:$A$30,0)),"?"))</f>
        <v/>
      </c>
      <c r="G74" s="25" t="str">
        <f aca="false">IF(A74="","",A74-WEEKDAY(A74,2)+1)</f>
        <v/>
      </c>
      <c r="H74" s="26" t="str">
        <f aca="false">IF(A74="","",DATE(YEAR(A74),MONTH(A74),1))</f>
        <v/>
      </c>
    </row>
    <row r="75" customFormat="false" ht="15" hidden="false" customHeight="false" outlineLevel="0" collapsed="false">
      <c r="A75" s="22"/>
      <c r="B75" s="23"/>
      <c r="C75" s="23"/>
      <c r="D75" s="24"/>
      <c r="E75" s="23"/>
      <c r="F75" s="15" t="str">
        <f aca="false">IF(B75="","",IFERROR(INDEX(Configurações!$B$7:$B$30,MATCH(B75,Configurações!$A$7:$A$30,0)),"?"))</f>
        <v/>
      </c>
      <c r="G75" s="25" t="str">
        <f aca="false">IF(A75="","",A75-WEEKDAY(A75,2)+1)</f>
        <v/>
      </c>
      <c r="H75" s="26" t="str">
        <f aca="false">IF(A75="","",DATE(YEAR(A75),MONTH(A75),1))</f>
        <v/>
      </c>
    </row>
    <row r="76" customFormat="false" ht="15" hidden="false" customHeight="false" outlineLevel="0" collapsed="false">
      <c r="A76" s="22"/>
      <c r="B76" s="23"/>
      <c r="C76" s="23"/>
      <c r="D76" s="24"/>
      <c r="E76" s="23"/>
      <c r="F76" s="15" t="str">
        <f aca="false">IF(B76="","",IFERROR(INDEX(Configurações!$B$7:$B$30,MATCH(B76,Configurações!$A$7:$A$30,0)),"?"))</f>
        <v/>
      </c>
      <c r="G76" s="25" t="str">
        <f aca="false">IF(A76="","",A76-WEEKDAY(A76,2)+1)</f>
        <v/>
      </c>
      <c r="H76" s="26" t="str">
        <f aca="false">IF(A76="","",DATE(YEAR(A76),MONTH(A76),1))</f>
        <v/>
      </c>
    </row>
    <row r="77" customFormat="false" ht="15" hidden="false" customHeight="false" outlineLevel="0" collapsed="false">
      <c r="A77" s="22"/>
      <c r="B77" s="23"/>
      <c r="C77" s="23"/>
      <c r="D77" s="24"/>
      <c r="E77" s="23"/>
      <c r="F77" s="15" t="str">
        <f aca="false">IF(B77="","",IFERROR(INDEX(Configurações!$B$7:$B$30,MATCH(B77,Configurações!$A$7:$A$30,0)),"?"))</f>
        <v/>
      </c>
      <c r="G77" s="25" t="str">
        <f aca="false">IF(A77="","",A77-WEEKDAY(A77,2)+1)</f>
        <v/>
      </c>
      <c r="H77" s="26" t="str">
        <f aca="false">IF(A77="","",DATE(YEAR(A77),MONTH(A77),1))</f>
        <v/>
      </c>
    </row>
    <row r="78" customFormat="false" ht="15" hidden="false" customHeight="false" outlineLevel="0" collapsed="false">
      <c r="A78" s="22"/>
      <c r="B78" s="23"/>
      <c r="C78" s="23"/>
      <c r="D78" s="24"/>
      <c r="E78" s="23"/>
      <c r="F78" s="15" t="str">
        <f aca="false">IF(B78="","",IFERROR(INDEX(Configurações!$B$7:$B$30,MATCH(B78,Configurações!$A$7:$A$30,0)),"?"))</f>
        <v/>
      </c>
      <c r="G78" s="25" t="str">
        <f aca="false">IF(A78="","",A78-WEEKDAY(A78,2)+1)</f>
        <v/>
      </c>
      <c r="H78" s="26" t="str">
        <f aca="false">IF(A78="","",DATE(YEAR(A78),MONTH(A78),1))</f>
        <v/>
      </c>
    </row>
    <row r="79" customFormat="false" ht="15" hidden="false" customHeight="false" outlineLevel="0" collapsed="false">
      <c r="A79" s="22"/>
      <c r="B79" s="23"/>
      <c r="C79" s="23"/>
      <c r="D79" s="24"/>
      <c r="E79" s="23"/>
      <c r="F79" s="15" t="str">
        <f aca="false">IF(B79="","",IFERROR(INDEX(Configurações!$B$7:$B$30,MATCH(B79,Configurações!$A$7:$A$30,0)),"?"))</f>
        <v/>
      </c>
      <c r="G79" s="25" t="str">
        <f aca="false">IF(A79="","",A79-WEEKDAY(A79,2)+1)</f>
        <v/>
      </c>
      <c r="H79" s="26" t="str">
        <f aca="false">IF(A79="","",DATE(YEAR(A79),MONTH(A79),1))</f>
        <v/>
      </c>
    </row>
    <row r="80" customFormat="false" ht="15" hidden="false" customHeight="false" outlineLevel="0" collapsed="false">
      <c r="A80" s="22"/>
      <c r="B80" s="23"/>
      <c r="C80" s="23"/>
      <c r="D80" s="24"/>
      <c r="E80" s="23"/>
      <c r="F80" s="15" t="str">
        <f aca="false">IF(B80="","",IFERROR(INDEX(Configurações!$B$7:$B$30,MATCH(B80,Configurações!$A$7:$A$30,0)),"?"))</f>
        <v/>
      </c>
      <c r="G80" s="25" t="str">
        <f aca="false">IF(A80="","",A80-WEEKDAY(A80,2)+1)</f>
        <v/>
      </c>
      <c r="H80" s="26" t="str">
        <f aca="false">IF(A80="","",DATE(YEAR(A80),MONTH(A80),1))</f>
        <v/>
      </c>
    </row>
    <row r="81" customFormat="false" ht="15" hidden="false" customHeight="false" outlineLevel="0" collapsed="false">
      <c r="A81" s="22"/>
      <c r="B81" s="23"/>
      <c r="C81" s="23"/>
      <c r="D81" s="24"/>
      <c r="E81" s="23"/>
      <c r="F81" s="15" t="str">
        <f aca="false">IF(B81="","",IFERROR(INDEX(Configurações!$B$7:$B$30,MATCH(B81,Configurações!$A$7:$A$30,0)),"?"))</f>
        <v/>
      </c>
      <c r="G81" s="25" t="str">
        <f aca="false">IF(A81="","",A81-WEEKDAY(A81,2)+1)</f>
        <v/>
      </c>
      <c r="H81" s="26" t="str">
        <f aca="false">IF(A81="","",DATE(YEAR(A81),MONTH(A81),1))</f>
        <v/>
      </c>
    </row>
    <row r="82" customFormat="false" ht="15" hidden="false" customHeight="false" outlineLevel="0" collapsed="false">
      <c r="A82" s="22"/>
      <c r="B82" s="23"/>
      <c r="C82" s="23"/>
      <c r="D82" s="24"/>
      <c r="E82" s="23"/>
      <c r="F82" s="15" t="str">
        <f aca="false">IF(B82="","",IFERROR(INDEX(Configurações!$B$7:$B$30,MATCH(B82,Configurações!$A$7:$A$30,0)),"?"))</f>
        <v/>
      </c>
      <c r="G82" s="25" t="str">
        <f aca="false">IF(A82="","",A82-WEEKDAY(A82,2)+1)</f>
        <v/>
      </c>
      <c r="H82" s="26" t="str">
        <f aca="false">IF(A82="","",DATE(YEAR(A82),MONTH(A82),1))</f>
        <v/>
      </c>
    </row>
    <row r="83" customFormat="false" ht="15" hidden="false" customHeight="false" outlineLevel="0" collapsed="false">
      <c r="A83" s="22"/>
      <c r="B83" s="23"/>
      <c r="C83" s="23"/>
      <c r="D83" s="24"/>
      <c r="E83" s="23"/>
      <c r="F83" s="15" t="str">
        <f aca="false">IF(B83="","",IFERROR(INDEX(Configurações!$B$7:$B$30,MATCH(B83,Configurações!$A$7:$A$30,0)),"?"))</f>
        <v/>
      </c>
      <c r="G83" s="25" t="str">
        <f aca="false">IF(A83="","",A83-WEEKDAY(A83,2)+1)</f>
        <v/>
      </c>
      <c r="H83" s="26" t="str">
        <f aca="false">IF(A83="","",DATE(YEAR(A83),MONTH(A83),1))</f>
        <v/>
      </c>
    </row>
    <row r="84" customFormat="false" ht="15" hidden="false" customHeight="false" outlineLevel="0" collapsed="false">
      <c r="A84" s="22"/>
      <c r="B84" s="23"/>
      <c r="C84" s="23"/>
      <c r="D84" s="24"/>
      <c r="E84" s="23"/>
      <c r="F84" s="15" t="str">
        <f aca="false">IF(B84="","",IFERROR(INDEX(Configurações!$B$7:$B$30,MATCH(B84,Configurações!$A$7:$A$30,0)),"?"))</f>
        <v/>
      </c>
      <c r="G84" s="25" t="str">
        <f aca="false">IF(A84="","",A84-WEEKDAY(A84,2)+1)</f>
        <v/>
      </c>
      <c r="H84" s="26" t="str">
        <f aca="false">IF(A84="","",DATE(YEAR(A84),MONTH(A84),1))</f>
        <v/>
      </c>
    </row>
    <row r="85" customFormat="false" ht="15" hidden="false" customHeight="false" outlineLevel="0" collapsed="false">
      <c r="A85" s="22"/>
      <c r="B85" s="23"/>
      <c r="C85" s="23"/>
      <c r="D85" s="24"/>
      <c r="E85" s="23"/>
      <c r="F85" s="15" t="str">
        <f aca="false">IF(B85="","",IFERROR(INDEX(Configurações!$B$7:$B$30,MATCH(B85,Configurações!$A$7:$A$30,0)),"?"))</f>
        <v/>
      </c>
      <c r="G85" s="25" t="str">
        <f aca="false">IF(A85="","",A85-WEEKDAY(A85,2)+1)</f>
        <v/>
      </c>
      <c r="H85" s="26" t="str">
        <f aca="false">IF(A85="","",DATE(YEAR(A85),MONTH(A85),1))</f>
        <v/>
      </c>
    </row>
    <row r="86" customFormat="false" ht="15" hidden="false" customHeight="false" outlineLevel="0" collapsed="false">
      <c r="A86" s="22"/>
      <c r="B86" s="23"/>
      <c r="C86" s="23"/>
      <c r="D86" s="24"/>
      <c r="E86" s="23"/>
      <c r="F86" s="15" t="str">
        <f aca="false">IF(B86="","",IFERROR(INDEX(Configurações!$B$7:$B$30,MATCH(B86,Configurações!$A$7:$A$30,0)),"?"))</f>
        <v/>
      </c>
      <c r="G86" s="25" t="str">
        <f aca="false">IF(A86="","",A86-WEEKDAY(A86,2)+1)</f>
        <v/>
      </c>
      <c r="H86" s="26" t="str">
        <f aca="false">IF(A86="","",DATE(YEAR(A86),MONTH(A86),1))</f>
        <v/>
      </c>
    </row>
    <row r="87" customFormat="false" ht="15" hidden="false" customHeight="false" outlineLevel="0" collapsed="false">
      <c r="A87" s="22"/>
      <c r="B87" s="23"/>
      <c r="C87" s="23"/>
      <c r="D87" s="24"/>
      <c r="E87" s="23"/>
      <c r="F87" s="15" t="str">
        <f aca="false">IF(B87="","",IFERROR(INDEX(Configurações!$B$7:$B$30,MATCH(B87,Configurações!$A$7:$A$30,0)),"?"))</f>
        <v/>
      </c>
      <c r="G87" s="25" t="str">
        <f aca="false">IF(A87="","",A87-WEEKDAY(A87,2)+1)</f>
        <v/>
      </c>
      <c r="H87" s="26" t="str">
        <f aca="false">IF(A87="","",DATE(YEAR(A87),MONTH(A87),1))</f>
        <v/>
      </c>
    </row>
    <row r="88" customFormat="false" ht="15" hidden="false" customHeight="false" outlineLevel="0" collapsed="false">
      <c r="A88" s="22"/>
      <c r="B88" s="23"/>
      <c r="C88" s="23"/>
      <c r="D88" s="24"/>
      <c r="E88" s="23"/>
      <c r="F88" s="15" t="str">
        <f aca="false">IF(B88="","",IFERROR(INDEX(Configurações!$B$7:$B$30,MATCH(B88,Configurações!$A$7:$A$30,0)),"?"))</f>
        <v/>
      </c>
      <c r="G88" s="25" t="str">
        <f aca="false">IF(A88="","",A88-WEEKDAY(A88,2)+1)</f>
        <v/>
      </c>
      <c r="H88" s="26" t="str">
        <f aca="false">IF(A88="","",DATE(YEAR(A88),MONTH(A88),1))</f>
        <v/>
      </c>
    </row>
    <row r="89" customFormat="false" ht="15" hidden="false" customHeight="false" outlineLevel="0" collapsed="false">
      <c r="A89" s="22"/>
      <c r="B89" s="23"/>
      <c r="C89" s="23"/>
      <c r="D89" s="24"/>
      <c r="E89" s="23"/>
      <c r="F89" s="15" t="str">
        <f aca="false">IF(B89="","",IFERROR(INDEX(Configurações!$B$7:$B$30,MATCH(B89,Configurações!$A$7:$A$30,0)),"?"))</f>
        <v/>
      </c>
      <c r="G89" s="25" t="str">
        <f aca="false">IF(A89="","",A89-WEEKDAY(A89,2)+1)</f>
        <v/>
      </c>
      <c r="H89" s="26" t="str">
        <f aca="false">IF(A89="","",DATE(YEAR(A89),MONTH(A89),1))</f>
        <v/>
      </c>
    </row>
    <row r="90" customFormat="false" ht="15" hidden="false" customHeight="false" outlineLevel="0" collapsed="false">
      <c r="A90" s="22"/>
      <c r="B90" s="23"/>
      <c r="C90" s="23"/>
      <c r="D90" s="24"/>
      <c r="E90" s="23"/>
      <c r="F90" s="15" t="str">
        <f aca="false">IF(B90="","",IFERROR(INDEX(Configurações!$B$7:$B$30,MATCH(B90,Configurações!$A$7:$A$30,0)),"?"))</f>
        <v/>
      </c>
      <c r="G90" s="25" t="str">
        <f aca="false">IF(A90="","",A90-WEEKDAY(A90,2)+1)</f>
        <v/>
      </c>
      <c r="H90" s="26" t="str">
        <f aca="false">IF(A90="","",DATE(YEAR(A90),MONTH(A90),1))</f>
        <v/>
      </c>
    </row>
    <row r="91" customFormat="false" ht="15" hidden="false" customHeight="false" outlineLevel="0" collapsed="false">
      <c r="A91" s="22"/>
      <c r="B91" s="23"/>
      <c r="C91" s="23"/>
      <c r="D91" s="24"/>
      <c r="E91" s="23"/>
      <c r="F91" s="15" t="str">
        <f aca="false">IF(B91="","",IFERROR(INDEX(Configurações!$B$7:$B$30,MATCH(B91,Configurações!$A$7:$A$30,0)),"?"))</f>
        <v/>
      </c>
      <c r="G91" s="25" t="str">
        <f aca="false">IF(A91="","",A91-WEEKDAY(A91,2)+1)</f>
        <v/>
      </c>
      <c r="H91" s="26" t="str">
        <f aca="false">IF(A91="","",DATE(YEAR(A91),MONTH(A91),1))</f>
        <v/>
      </c>
    </row>
    <row r="92" customFormat="false" ht="15" hidden="false" customHeight="false" outlineLevel="0" collapsed="false">
      <c r="A92" s="22"/>
      <c r="B92" s="23"/>
      <c r="C92" s="23"/>
      <c r="D92" s="24"/>
      <c r="E92" s="23"/>
      <c r="F92" s="15" t="str">
        <f aca="false">IF(B92="","",IFERROR(INDEX(Configurações!$B$7:$B$30,MATCH(B92,Configurações!$A$7:$A$30,0)),"?"))</f>
        <v/>
      </c>
      <c r="G92" s="25" t="str">
        <f aca="false">IF(A92="","",A92-WEEKDAY(A92,2)+1)</f>
        <v/>
      </c>
      <c r="H92" s="26" t="str">
        <f aca="false">IF(A92="","",DATE(YEAR(A92),MONTH(A92),1))</f>
        <v/>
      </c>
    </row>
    <row r="93" customFormat="false" ht="15" hidden="false" customHeight="false" outlineLevel="0" collapsed="false">
      <c r="A93" s="22"/>
      <c r="B93" s="23"/>
      <c r="C93" s="23"/>
      <c r="D93" s="24"/>
      <c r="E93" s="23"/>
      <c r="F93" s="15" t="str">
        <f aca="false">IF(B93="","",IFERROR(INDEX(Configurações!$B$7:$B$30,MATCH(B93,Configurações!$A$7:$A$30,0)),"?"))</f>
        <v/>
      </c>
      <c r="G93" s="25" t="str">
        <f aca="false">IF(A93="","",A93-WEEKDAY(A93,2)+1)</f>
        <v/>
      </c>
      <c r="H93" s="26" t="str">
        <f aca="false">IF(A93="","",DATE(YEAR(A93),MONTH(A93),1))</f>
        <v/>
      </c>
    </row>
    <row r="94" customFormat="false" ht="15" hidden="false" customHeight="false" outlineLevel="0" collapsed="false">
      <c r="A94" s="22"/>
      <c r="B94" s="23"/>
      <c r="C94" s="23"/>
      <c r="D94" s="24"/>
      <c r="E94" s="23"/>
      <c r="F94" s="15" t="str">
        <f aca="false">IF(B94="","",IFERROR(INDEX(Configurações!$B$7:$B$30,MATCH(B94,Configurações!$A$7:$A$30,0)),"?"))</f>
        <v/>
      </c>
      <c r="G94" s="25" t="str">
        <f aca="false">IF(A94="","",A94-WEEKDAY(A94,2)+1)</f>
        <v/>
      </c>
      <c r="H94" s="26" t="str">
        <f aca="false">IF(A94="","",DATE(YEAR(A94),MONTH(A94),1))</f>
        <v/>
      </c>
    </row>
    <row r="95" customFormat="false" ht="15" hidden="false" customHeight="false" outlineLevel="0" collapsed="false">
      <c r="A95" s="22"/>
      <c r="B95" s="23"/>
      <c r="C95" s="23"/>
      <c r="D95" s="24"/>
      <c r="E95" s="23"/>
      <c r="F95" s="15" t="str">
        <f aca="false">IF(B95="","",IFERROR(INDEX(Configurações!$B$7:$B$30,MATCH(B95,Configurações!$A$7:$A$30,0)),"?"))</f>
        <v/>
      </c>
      <c r="G95" s="25" t="str">
        <f aca="false">IF(A95="","",A95-WEEKDAY(A95,2)+1)</f>
        <v/>
      </c>
      <c r="H95" s="26" t="str">
        <f aca="false">IF(A95="","",DATE(YEAR(A95),MONTH(A95),1))</f>
        <v/>
      </c>
    </row>
    <row r="96" customFormat="false" ht="15" hidden="false" customHeight="false" outlineLevel="0" collapsed="false">
      <c r="A96" s="22"/>
      <c r="B96" s="23"/>
      <c r="C96" s="23"/>
      <c r="D96" s="24"/>
      <c r="E96" s="23"/>
      <c r="F96" s="15" t="str">
        <f aca="false">IF(B96="","",IFERROR(INDEX(Configurações!$B$7:$B$30,MATCH(B96,Configurações!$A$7:$A$30,0)),"?"))</f>
        <v/>
      </c>
      <c r="G96" s="25" t="str">
        <f aca="false">IF(A96="","",A96-WEEKDAY(A96,2)+1)</f>
        <v/>
      </c>
      <c r="H96" s="26" t="str">
        <f aca="false">IF(A96="","",DATE(YEAR(A96),MONTH(A96),1))</f>
        <v/>
      </c>
    </row>
    <row r="97" customFormat="false" ht="15" hidden="false" customHeight="false" outlineLevel="0" collapsed="false">
      <c r="A97" s="22"/>
      <c r="B97" s="23"/>
      <c r="C97" s="23"/>
      <c r="D97" s="24"/>
      <c r="E97" s="23"/>
      <c r="F97" s="15" t="str">
        <f aca="false">IF(B97="","",IFERROR(INDEX(Configurações!$B$7:$B$30,MATCH(B97,Configurações!$A$7:$A$30,0)),"?"))</f>
        <v/>
      </c>
      <c r="G97" s="25" t="str">
        <f aca="false">IF(A97="","",A97-WEEKDAY(A97,2)+1)</f>
        <v/>
      </c>
      <c r="H97" s="26" t="str">
        <f aca="false">IF(A97="","",DATE(YEAR(A97),MONTH(A97),1))</f>
        <v/>
      </c>
    </row>
    <row r="98" customFormat="false" ht="15" hidden="false" customHeight="false" outlineLevel="0" collapsed="false">
      <c r="A98" s="22"/>
      <c r="B98" s="23"/>
      <c r="C98" s="23"/>
      <c r="D98" s="24"/>
      <c r="E98" s="23"/>
      <c r="F98" s="15" t="str">
        <f aca="false">IF(B98="","",IFERROR(INDEX(Configurações!$B$7:$B$30,MATCH(B98,Configurações!$A$7:$A$30,0)),"?"))</f>
        <v/>
      </c>
      <c r="G98" s="25" t="str">
        <f aca="false">IF(A98="","",A98-WEEKDAY(A98,2)+1)</f>
        <v/>
      </c>
      <c r="H98" s="26" t="str">
        <f aca="false">IF(A98="","",DATE(YEAR(A98),MONTH(A98),1))</f>
        <v/>
      </c>
    </row>
    <row r="99" customFormat="false" ht="15" hidden="false" customHeight="false" outlineLevel="0" collapsed="false">
      <c r="A99" s="22"/>
      <c r="B99" s="23"/>
      <c r="C99" s="23"/>
      <c r="D99" s="24"/>
      <c r="E99" s="23"/>
      <c r="F99" s="15" t="str">
        <f aca="false">IF(B99="","",IFERROR(INDEX(Configurações!$B$7:$B$30,MATCH(B99,Configurações!$A$7:$A$30,0)),"?"))</f>
        <v/>
      </c>
      <c r="G99" s="25" t="str">
        <f aca="false">IF(A99="","",A99-WEEKDAY(A99,2)+1)</f>
        <v/>
      </c>
      <c r="H99" s="26" t="str">
        <f aca="false">IF(A99="","",DATE(YEAR(A99),MONTH(A99),1))</f>
        <v/>
      </c>
    </row>
    <row r="100" customFormat="false" ht="15" hidden="false" customHeight="false" outlineLevel="0" collapsed="false">
      <c r="A100" s="22"/>
      <c r="B100" s="23"/>
      <c r="C100" s="23"/>
      <c r="D100" s="24"/>
      <c r="E100" s="23"/>
      <c r="F100" s="15" t="str">
        <f aca="false">IF(B100="","",IFERROR(INDEX(Configurações!$B$7:$B$30,MATCH(B100,Configurações!$A$7:$A$30,0)),"?"))</f>
        <v/>
      </c>
      <c r="G100" s="25" t="str">
        <f aca="false">IF(A100="","",A100-WEEKDAY(A100,2)+1)</f>
        <v/>
      </c>
      <c r="H100" s="26" t="str">
        <f aca="false">IF(A100="","",DATE(YEAR(A100),MONTH(A100),1))</f>
        <v/>
      </c>
    </row>
    <row r="101" customFormat="false" ht="15" hidden="false" customHeight="false" outlineLevel="0" collapsed="false">
      <c r="A101" s="22"/>
      <c r="B101" s="23"/>
      <c r="C101" s="23"/>
      <c r="D101" s="24"/>
      <c r="E101" s="23"/>
      <c r="F101" s="15" t="str">
        <f aca="false">IF(B101="","",IFERROR(INDEX(Configurações!$B$7:$B$30,MATCH(B101,Configurações!$A$7:$A$30,0)),"?"))</f>
        <v/>
      </c>
      <c r="G101" s="25" t="str">
        <f aca="false">IF(A101="","",A101-WEEKDAY(A101,2)+1)</f>
        <v/>
      </c>
      <c r="H101" s="26" t="str">
        <f aca="false">IF(A101="","",DATE(YEAR(A101),MONTH(A101),1))</f>
        <v/>
      </c>
    </row>
    <row r="102" customFormat="false" ht="15" hidden="false" customHeight="false" outlineLevel="0" collapsed="false">
      <c r="A102" s="22"/>
      <c r="B102" s="23"/>
      <c r="C102" s="23"/>
      <c r="D102" s="24"/>
      <c r="E102" s="23"/>
      <c r="F102" s="15" t="str">
        <f aca="false">IF(B102="","",IFERROR(INDEX(Configurações!$B$7:$B$30,MATCH(B102,Configurações!$A$7:$A$30,0)),"?"))</f>
        <v/>
      </c>
      <c r="G102" s="25" t="str">
        <f aca="false">IF(A102="","",A102-WEEKDAY(A102,2)+1)</f>
        <v/>
      </c>
      <c r="H102" s="26" t="str">
        <f aca="false">IF(A102="","",DATE(YEAR(A102),MONTH(A102),1))</f>
        <v/>
      </c>
    </row>
    <row r="103" customFormat="false" ht="15" hidden="false" customHeight="false" outlineLevel="0" collapsed="false">
      <c r="A103" s="22"/>
      <c r="B103" s="23"/>
      <c r="C103" s="23"/>
      <c r="D103" s="24"/>
      <c r="E103" s="23"/>
      <c r="F103" s="15" t="str">
        <f aca="false">IF(B103="","",IFERROR(INDEX(Configurações!$B$7:$B$30,MATCH(B103,Configurações!$A$7:$A$30,0)),"?"))</f>
        <v/>
      </c>
      <c r="G103" s="25" t="str">
        <f aca="false">IF(A103="","",A103-WEEKDAY(A103,2)+1)</f>
        <v/>
      </c>
      <c r="H103" s="26" t="str">
        <f aca="false">IF(A103="","",DATE(YEAR(A103),MONTH(A103),1))</f>
        <v/>
      </c>
    </row>
    <row r="104" customFormat="false" ht="15" hidden="false" customHeight="false" outlineLevel="0" collapsed="false">
      <c r="A104" s="22"/>
      <c r="B104" s="23"/>
      <c r="C104" s="23"/>
      <c r="D104" s="24"/>
      <c r="E104" s="23"/>
      <c r="F104" s="15" t="str">
        <f aca="false">IF(B104="","",IFERROR(INDEX(Configurações!$B$7:$B$30,MATCH(B104,Configurações!$A$7:$A$30,0)),"?"))</f>
        <v/>
      </c>
      <c r="G104" s="25" t="str">
        <f aca="false">IF(A104="","",A104-WEEKDAY(A104,2)+1)</f>
        <v/>
      </c>
      <c r="H104" s="26" t="str">
        <f aca="false">IF(A104="","",DATE(YEAR(A104),MONTH(A104),1))</f>
        <v/>
      </c>
    </row>
    <row r="105" customFormat="false" ht="15" hidden="false" customHeight="false" outlineLevel="0" collapsed="false">
      <c r="A105" s="22"/>
      <c r="B105" s="23"/>
      <c r="C105" s="23"/>
      <c r="D105" s="24"/>
      <c r="E105" s="23"/>
      <c r="F105" s="15" t="str">
        <f aca="false">IF(B105="","",IFERROR(INDEX(Configurações!$B$7:$B$30,MATCH(B105,Configurações!$A$7:$A$30,0)),"?"))</f>
        <v/>
      </c>
      <c r="G105" s="25" t="str">
        <f aca="false">IF(A105="","",A105-WEEKDAY(A105,2)+1)</f>
        <v/>
      </c>
      <c r="H105" s="26" t="str">
        <f aca="false">IF(A105="","",DATE(YEAR(A105),MONTH(A105),1))</f>
        <v/>
      </c>
    </row>
    <row r="106" customFormat="false" ht="15" hidden="false" customHeight="false" outlineLevel="0" collapsed="false">
      <c r="A106" s="22"/>
      <c r="B106" s="23"/>
      <c r="C106" s="23"/>
      <c r="D106" s="24"/>
      <c r="E106" s="23"/>
      <c r="F106" s="15" t="str">
        <f aca="false">IF(B106="","",IFERROR(INDEX(Configurações!$B$7:$B$30,MATCH(B106,Configurações!$A$7:$A$30,0)),"?"))</f>
        <v/>
      </c>
      <c r="G106" s="25" t="str">
        <f aca="false">IF(A106="","",A106-WEEKDAY(A106,2)+1)</f>
        <v/>
      </c>
      <c r="H106" s="26" t="str">
        <f aca="false">IF(A106="","",DATE(YEAR(A106),MONTH(A106),1))</f>
        <v/>
      </c>
    </row>
    <row r="107" customFormat="false" ht="15" hidden="false" customHeight="false" outlineLevel="0" collapsed="false">
      <c r="A107" s="22"/>
      <c r="B107" s="23"/>
      <c r="C107" s="23"/>
      <c r="D107" s="24"/>
      <c r="E107" s="23"/>
      <c r="F107" s="15" t="str">
        <f aca="false">IF(B107="","",IFERROR(INDEX(Configurações!$B$7:$B$30,MATCH(B107,Configurações!$A$7:$A$30,0)),"?"))</f>
        <v/>
      </c>
      <c r="G107" s="25" t="str">
        <f aca="false">IF(A107="","",A107-WEEKDAY(A107,2)+1)</f>
        <v/>
      </c>
      <c r="H107" s="26" t="str">
        <f aca="false">IF(A107="","",DATE(YEAR(A107),MONTH(A107),1))</f>
        <v/>
      </c>
    </row>
    <row r="108" customFormat="false" ht="15" hidden="false" customHeight="false" outlineLevel="0" collapsed="false">
      <c r="A108" s="22"/>
      <c r="B108" s="23"/>
      <c r="C108" s="23"/>
      <c r="D108" s="24"/>
      <c r="E108" s="23"/>
      <c r="F108" s="15" t="str">
        <f aca="false">IF(B108="","",IFERROR(INDEX(Configurações!$B$7:$B$30,MATCH(B108,Configurações!$A$7:$A$30,0)),"?"))</f>
        <v/>
      </c>
      <c r="G108" s="25" t="str">
        <f aca="false">IF(A108="","",A108-WEEKDAY(A108,2)+1)</f>
        <v/>
      </c>
      <c r="H108" s="26" t="str">
        <f aca="false">IF(A108="","",DATE(YEAR(A108),MONTH(A108),1))</f>
        <v/>
      </c>
    </row>
    <row r="109" customFormat="false" ht="15" hidden="false" customHeight="false" outlineLevel="0" collapsed="false">
      <c r="A109" s="22"/>
      <c r="B109" s="23"/>
      <c r="C109" s="23"/>
      <c r="D109" s="24"/>
      <c r="E109" s="23"/>
      <c r="F109" s="15" t="str">
        <f aca="false">IF(B109="","",IFERROR(INDEX(Configurações!$B$7:$B$30,MATCH(B109,Configurações!$A$7:$A$30,0)),"?"))</f>
        <v/>
      </c>
      <c r="G109" s="25" t="str">
        <f aca="false">IF(A109="","",A109-WEEKDAY(A109,2)+1)</f>
        <v/>
      </c>
      <c r="H109" s="26" t="str">
        <f aca="false">IF(A109="","",DATE(YEAR(A109),MONTH(A109),1))</f>
        <v/>
      </c>
    </row>
    <row r="110" customFormat="false" ht="15" hidden="false" customHeight="false" outlineLevel="0" collapsed="false">
      <c r="A110" s="22"/>
      <c r="B110" s="23"/>
      <c r="C110" s="23"/>
      <c r="D110" s="24"/>
      <c r="E110" s="23"/>
      <c r="F110" s="15" t="str">
        <f aca="false">IF(B110="","",IFERROR(INDEX(Configurações!$B$7:$B$30,MATCH(B110,Configurações!$A$7:$A$30,0)),"?"))</f>
        <v/>
      </c>
      <c r="G110" s="25" t="str">
        <f aca="false">IF(A110="","",A110-WEEKDAY(A110,2)+1)</f>
        <v/>
      </c>
      <c r="H110" s="26" t="str">
        <f aca="false">IF(A110="","",DATE(YEAR(A110),MONTH(A110),1))</f>
        <v/>
      </c>
    </row>
    <row r="111" customFormat="false" ht="15" hidden="false" customHeight="false" outlineLevel="0" collapsed="false">
      <c r="A111" s="22"/>
      <c r="B111" s="23"/>
      <c r="C111" s="23"/>
      <c r="D111" s="24"/>
      <c r="E111" s="23"/>
      <c r="F111" s="15" t="str">
        <f aca="false">IF(B111="","",IFERROR(INDEX(Configurações!$B$7:$B$30,MATCH(B111,Configurações!$A$7:$A$30,0)),"?"))</f>
        <v/>
      </c>
      <c r="G111" s="25" t="str">
        <f aca="false">IF(A111="","",A111-WEEKDAY(A111,2)+1)</f>
        <v/>
      </c>
      <c r="H111" s="26" t="str">
        <f aca="false">IF(A111="","",DATE(YEAR(A111),MONTH(A111),1))</f>
        <v/>
      </c>
    </row>
    <row r="112" customFormat="false" ht="15" hidden="false" customHeight="false" outlineLevel="0" collapsed="false">
      <c r="A112" s="22"/>
      <c r="B112" s="23"/>
      <c r="C112" s="23"/>
      <c r="D112" s="24"/>
      <c r="E112" s="23"/>
      <c r="F112" s="15" t="str">
        <f aca="false">IF(B112="","",IFERROR(INDEX(Configurações!$B$7:$B$30,MATCH(B112,Configurações!$A$7:$A$30,0)),"?"))</f>
        <v/>
      </c>
      <c r="G112" s="25" t="str">
        <f aca="false">IF(A112="","",A112-WEEKDAY(A112,2)+1)</f>
        <v/>
      </c>
      <c r="H112" s="26" t="str">
        <f aca="false">IF(A112="","",DATE(YEAR(A112),MONTH(A112),1))</f>
        <v/>
      </c>
    </row>
    <row r="113" customFormat="false" ht="15" hidden="false" customHeight="false" outlineLevel="0" collapsed="false">
      <c r="A113" s="22"/>
      <c r="B113" s="23"/>
      <c r="C113" s="23"/>
      <c r="D113" s="24"/>
      <c r="E113" s="23"/>
      <c r="F113" s="15" t="str">
        <f aca="false">IF(B113="","",IFERROR(INDEX(Configurações!$B$7:$B$30,MATCH(B113,Configurações!$A$7:$A$30,0)),"?"))</f>
        <v/>
      </c>
      <c r="G113" s="25" t="str">
        <f aca="false">IF(A113="","",A113-WEEKDAY(A113,2)+1)</f>
        <v/>
      </c>
      <c r="H113" s="26" t="str">
        <f aca="false">IF(A113="","",DATE(YEAR(A113),MONTH(A113),1))</f>
        <v/>
      </c>
    </row>
    <row r="114" customFormat="false" ht="15" hidden="false" customHeight="false" outlineLevel="0" collapsed="false">
      <c r="A114" s="22"/>
      <c r="B114" s="23"/>
      <c r="C114" s="23"/>
      <c r="D114" s="24"/>
      <c r="E114" s="23"/>
      <c r="F114" s="15" t="str">
        <f aca="false">IF(B114="","",IFERROR(INDEX(Configurações!$B$7:$B$30,MATCH(B114,Configurações!$A$7:$A$30,0)),"?"))</f>
        <v/>
      </c>
      <c r="G114" s="25" t="str">
        <f aca="false">IF(A114="","",A114-WEEKDAY(A114,2)+1)</f>
        <v/>
      </c>
      <c r="H114" s="26" t="str">
        <f aca="false">IF(A114="","",DATE(YEAR(A114),MONTH(A114),1))</f>
        <v/>
      </c>
    </row>
    <row r="115" customFormat="false" ht="15" hidden="false" customHeight="false" outlineLevel="0" collapsed="false">
      <c r="A115" s="22"/>
      <c r="B115" s="23"/>
      <c r="C115" s="23"/>
      <c r="D115" s="24"/>
      <c r="E115" s="23"/>
      <c r="F115" s="15" t="str">
        <f aca="false">IF(B115="","",IFERROR(INDEX(Configurações!$B$7:$B$30,MATCH(B115,Configurações!$A$7:$A$30,0)),"?"))</f>
        <v/>
      </c>
      <c r="G115" s="25" t="str">
        <f aca="false">IF(A115="","",A115-WEEKDAY(A115,2)+1)</f>
        <v/>
      </c>
      <c r="H115" s="26" t="str">
        <f aca="false">IF(A115="","",DATE(YEAR(A115),MONTH(A115),1))</f>
        <v/>
      </c>
    </row>
    <row r="116" customFormat="false" ht="15" hidden="false" customHeight="false" outlineLevel="0" collapsed="false">
      <c r="A116" s="22"/>
      <c r="B116" s="23"/>
      <c r="C116" s="23"/>
      <c r="D116" s="24"/>
      <c r="E116" s="23"/>
      <c r="F116" s="15" t="str">
        <f aca="false">IF(B116="","",IFERROR(INDEX(Configurações!$B$7:$B$30,MATCH(B116,Configurações!$A$7:$A$30,0)),"?"))</f>
        <v/>
      </c>
      <c r="G116" s="25" t="str">
        <f aca="false">IF(A116="","",A116-WEEKDAY(A116,2)+1)</f>
        <v/>
      </c>
      <c r="H116" s="26" t="str">
        <f aca="false">IF(A116="","",DATE(YEAR(A116),MONTH(A116),1))</f>
        <v/>
      </c>
    </row>
    <row r="117" customFormat="false" ht="15" hidden="false" customHeight="false" outlineLevel="0" collapsed="false">
      <c r="A117" s="22"/>
      <c r="B117" s="23"/>
      <c r="C117" s="23"/>
      <c r="D117" s="24"/>
      <c r="E117" s="23"/>
      <c r="F117" s="15" t="str">
        <f aca="false">IF(B117="","",IFERROR(INDEX(Configurações!$B$7:$B$30,MATCH(B117,Configurações!$A$7:$A$30,0)),"?"))</f>
        <v/>
      </c>
      <c r="G117" s="25" t="str">
        <f aca="false">IF(A117="","",A117-WEEKDAY(A117,2)+1)</f>
        <v/>
      </c>
      <c r="H117" s="26" t="str">
        <f aca="false">IF(A117="","",DATE(YEAR(A117),MONTH(A117),1))</f>
        <v/>
      </c>
    </row>
    <row r="118" customFormat="false" ht="15" hidden="false" customHeight="false" outlineLevel="0" collapsed="false">
      <c r="A118" s="22"/>
      <c r="B118" s="23"/>
      <c r="C118" s="23"/>
      <c r="D118" s="24"/>
      <c r="E118" s="23"/>
      <c r="F118" s="15" t="str">
        <f aca="false">IF(B118="","",IFERROR(INDEX(Configurações!$B$7:$B$30,MATCH(B118,Configurações!$A$7:$A$30,0)),"?"))</f>
        <v/>
      </c>
      <c r="G118" s="25" t="str">
        <f aca="false">IF(A118="","",A118-WEEKDAY(A118,2)+1)</f>
        <v/>
      </c>
      <c r="H118" s="26" t="str">
        <f aca="false">IF(A118="","",DATE(YEAR(A118),MONTH(A118),1))</f>
        <v/>
      </c>
    </row>
    <row r="119" customFormat="false" ht="15" hidden="false" customHeight="false" outlineLevel="0" collapsed="false">
      <c r="A119" s="22"/>
      <c r="B119" s="23"/>
      <c r="C119" s="23"/>
      <c r="D119" s="24"/>
      <c r="E119" s="23"/>
      <c r="F119" s="15" t="str">
        <f aca="false">IF(B119="","",IFERROR(INDEX(Configurações!$B$7:$B$30,MATCH(B119,Configurações!$A$7:$A$30,0)),"?"))</f>
        <v/>
      </c>
      <c r="G119" s="25" t="str">
        <f aca="false">IF(A119="","",A119-WEEKDAY(A119,2)+1)</f>
        <v/>
      </c>
      <c r="H119" s="26" t="str">
        <f aca="false">IF(A119="","",DATE(YEAR(A119),MONTH(A119),1))</f>
        <v/>
      </c>
    </row>
    <row r="120" customFormat="false" ht="15" hidden="false" customHeight="false" outlineLevel="0" collapsed="false">
      <c r="A120" s="22"/>
      <c r="B120" s="23"/>
      <c r="C120" s="23"/>
      <c r="D120" s="24"/>
      <c r="E120" s="23"/>
      <c r="F120" s="15" t="str">
        <f aca="false">IF(B120="","",IFERROR(INDEX(Configurações!$B$7:$B$30,MATCH(B120,Configurações!$A$7:$A$30,0)),"?"))</f>
        <v/>
      </c>
      <c r="G120" s="25" t="str">
        <f aca="false">IF(A120="","",A120-WEEKDAY(A120,2)+1)</f>
        <v/>
      </c>
      <c r="H120" s="26" t="str">
        <f aca="false">IF(A120="","",DATE(YEAR(A120),MONTH(A120),1))</f>
        <v/>
      </c>
    </row>
    <row r="121" customFormat="false" ht="15" hidden="false" customHeight="false" outlineLevel="0" collapsed="false">
      <c r="A121" s="22"/>
      <c r="B121" s="23"/>
      <c r="C121" s="23"/>
      <c r="D121" s="24"/>
      <c r="E121" s="23"/>
      <c r="F121" s="15" t="str">
        <f aca="false">IF(B121="","",IFERROR(INDEX(Configurações!$B$7:$B$30,MATCH(B121,Configurações!$A$7:$A$30,0)),"?"))</f>
        <v/>
      </c>
      <c r="G121" s="25" t="str">
        <f aca="false">IF(A121="","",A121-WEEKDAY(A121,2)+1)</f>
        <v/>
      </c>
      <c r="H121" s="26" t="str">
        <f aca="false">IF(A121="","",DATE(YEAR(A121),MONTH(A121),1))</f>
        <v/>
      </c>
    </row>
    <row r="122" customFormat="false" ht="15" hidden="false" customHeight="false" outlineLevel="0" collapsed="false">
      <c r="A122" s="22"/>
      <c r="B122" s="23"/>
      <c r="C122" s="23"/>
      <c r="D122" s="24"/>
      <c r="E122" s="23"/>
      <c r="F122" s="15" t="str">
        <f aca="false">IF(B122="","",IFERROR(INDEX(Configurações!$B$7:$B$30,MATCH(B122,Configurações!$A$7:$A$30,0)),"?"))</f>
        <v/>
      </c>
      <c r="G122" s="25" t="str">
        <f aca="false">IF(A122="","",A122-WEEKDAY(A122,2)+1)</f>
        <v/>
      </c>
      <c r="H122" s="26" t="str">
        <f aca="false">IF(A122="","",DATE(YEAR(A122),MONTH(A122),1))</f>
        <v/>
      </c>
    </row>
    <row r="123" customFormat="false" ht="15" hidden="false" customHeight="false" outlineLevel="0" collapsed="false">
      <c r="A123" s="22"/>
      <c r="B123" s="23"/>
      <c r="C123" s="23"/>
      <c r="D123" s="24"/>
      <c r="E123" s="23"/>
      <c r="F123" s="15" t="str">
        <f aca="false">IF(B123="","",IFERROR(INDEX(Configurações!$B$7:$B$30,MATCH(B123,Configurações!$A$7:$A$30,0)),"?"))</f>
        <v/>
      </c>
      <c r="G123" s="25" t="str">
        <f aca="false">IF(A123="","",A123-WEEKDAY(A123,2)+1)</f>
        <v/>
      </c>
      <c r="H123" s="26" t="str">
        <f aca="false">IF(A123="","",DATE(YEAR(A123),MONTH(A123),1))</f>
        <v/>
      </c>
    </row>
    <row r="124" customFormat="false" ht="15" hidden="false" customHeight="false" outlineLevel="0" collapsed="false">
      <c r="A124" s="22"/>
      <c r="B124" s="23"/>
      <c r="C124" s="23"/>
      <c r="D124" s="24"/>
      <c r="E124" s="23"/>
      <c r="F124" s="15" t="str">
        <f aca="false">IF(B124="","",IFERROR(INDEX(Configurações!$B$7:$B$30,MATCH(B124,Configurações!$A$7:$A$30,0)),"?"))</f>
        <v/>
      </c>
      <c r="G124" s="25" t="str">
        <f aca="false">IF(A124="","",A124-WEEKDAY(A124,2)+1)</f>
        <v/>
      </c>
      <c r="H124" s="26" t="str">
        <f aca="false">IF(A124="","",DATE(YEAR(A124),MONTH(A124),1))</f>
        <v/>
      </c>
    </row>
    <row r="125" customFormat="false" ht="15" hidden="false" customHeight="false" outlineLevel="0" collapsed="false">
      <c r="A125" s="22"/>
      <c r="B125" s="23"/>
      <c r="C125" s="23"/>
      <c r="D125" s="24"/>
      <c r="E125" s="23"/>
      <c r="F125" s="15" t="str">
        <f aca="false">IF(B125="","",IFERROR(INDEX(Configurações!$B$7:$B$30,MATCH(B125,Configurações!$A$7:$A$30,0)),"?"))</f>
        <v/>
      </c>
      <c r="G125" s="25" t="str">
        <f aca="false">IF(A125="","",A125-WEEKDAY(A125,2)+1)</f>
        <v/>
      </c>
      <c r="H125" s="26" t="str">
        <f aca="false">IF(A125="","",DATE(YEAR(A125),MONTH(A125),1))</f>
        <v/>
      </c>
    </row>
    <row r="126" customFormat="false" ht="15" hidden="false" customHeight="false" outlineLevel="0" collapsed="false">
      <c r="A126" s="22"/>
      <c r="B126" s="23"/>
      <c r="C126" s="23"/>
      <c r="D126" s="24"/>
      <c r="E126" s="23"/>
      <c r="F126" s="15" t="str">
        <f aca="false">IF(B126="","",IFERROR(INDEX(Configurações!$B$7:$B$30,MATCH(B126,Configurações!$A$7:$A$30,0)),"?"))</f>
        <v/>
      </c>
      <c r="G126" s="25" t="str">
        <f aca="false">IF(A126="","",A126-WEEKDAY(A126,2)+1)</f>
        <v/>
      </c>
      <c r="H126" s="26" t="str">
        <f aca="false">IF(A126="","",DATE(YEAR(A126),MONTH(A126),1))</f>
        <v/>
      </c>
    </row>
    <row r="127" customFormat="false" ht="15" hidden="false" customHeight="false" outlineLevel="0" collapsed="false">
      <c r="A127" s="22"/>
      <c r="B127" s="23"/>
      <c r="C127" s="23"/>
      <c r="D127" s="24"/>
      <c r="E127" s="23"/>
      <c r="F127" s="15" t="str">
        <f aca="false">IF(B127="","",IFERROR(INDEX(Configurações!$B$7:$B$30,MATCH(B127,Configurações!$A$7:$A$30,0)),"?"))</f>
        <v/>
      </c>
      <c r="G127" s="25" t="str">
        <f aca="false">IF(A127="","",A127-WEEKDAY(A127,2)+1)</f>
        <v/>
      </c>
      <c r="H127" s="26" t="str">
        <f aca="false">IF(A127="","",DATE(YEAR(A127),MONTH(A127),1))</f>
        <v/>
      </c>
    </row>
    <row r="128" customFormat="false" ht="15" hidden="false" customHeight="false" outlineLevel="0" collapsed="false">
      <c r="A128" s="22"/>
      <c r="B128" s="23"/>
      <c r="C128" s="23"/>
      <c r="D128" s="24"/>
      <c r="E128" s="23"/>
      <c r="F128" s="15" t="str">
        <f aca="false">IF(B128="","",IFERROR(INDEX(Configurações!$B$7:$B$30,MATCH(B128,Configurações!$A$7:$A$30,0)),"?"))</f>
        <v/>
      </c>
      <c r="G128" s="25" t="str">
        <f aca="false">IF(A128="","",A128-WEEKDAY(A128,2)+1)</f>
        <v/>
      </c>
      <c r="H128" s="26" t="str">
        <f aca="false">IF(A128="","",DATE(YEAR(A128),MONTH(A128),1))</f>
        <v/>
      </c>
    </row>
    <row r="129" customFormat="false" ht="15" hidden="false" customHeight="false" outlineLevel="0" collapsed="false">
      <c r="A129" s="22"/>
      <c r="B129" s="23"/>
      <c r="C129" s="23"/>
      <c r="D129" s="24"/>
      <c r="E129" s="23"/>
      <c r="F129" s="15" t="str">
        <f aca="false">IF(B129="","",IFERROR(INDEX(Configurações!$B$7:$B$30,MATCH(B129,Configurações!$A$7:$A$30,0)),"?"))</f>
        <v/>
      </c>
      <c r="G129" s="25" t="str">
        <f aca="false">IF(A129="","",A129-WEEKDAY(A129,2)+1)</f>
        <v/>
      </c>
      <c r="H129" s="26" t="str">
        <f aca="false">IF(A129="","",DATE(YEAR(A129),MONTH(A129),1))</f>
        <v/>
      </c>
    </row>
    <row r="130" customFormat="false" ht="15" hidden="false" customHeight="false" outlineLevel="0" collapsed="false">
      <c r="A130" s="22"/>
      <c r="B130" s="23"/>
      <c r="C130" s="23"/>
      <c r="D130" s="24"/>
      <c r="E130" s="23"/>
      <c r="F130" s="15" t="str">
        <f aca="false">IF(B130="","",IFERROR(INDEX(Configurações!$B$7:$B$30,MATCH(B130,Configurações!$A$7:$A$30,0)),"?"))</f>
        <v/>
      </c>
      <c r="G130" s="25" t="str">
        <f aca="false">IF(A130="","",A130-WEEKDAY(A130,2)+1)</f>
        <v/>
      </c>
      <c r="H130" s="26" t="str">
        <f aca="false">IF(A130="","",DATE(YEAR(A130),MONTH(A130),1))</f>
        <v/>
      </c>
    </row>
    <row r="131" customFormat="false" ht="15" hidden="false" customHeight="false" outlineLevel="0" collapsed="false">
      <c r="A131" s="22"/>
      <c r="B131" s="23"/>
      <c r="C131" s="23"/>
      <c r="D131" s="24"/>
      <c r="E131" s="23"/>
      <c r="F131" s="15" t="str">
        <f aca="false">IF(B131="","",IFERROR(INDEX(Configurações!$B$7:$B$30,MATCH(B131,Configurações!$A$7:$A$30,0)),"?"))</f>
        <v/>
      </c>
      <c r="G131" s="25" t="str">
        <f aca="false">IF(A131="","",A131-WEEKDAY(A131,2)+1)</f>
        <v/>
      </c>
      <c r="H131" s="26" t="str">
        <f aca="false">IF(A131="","",DATE(YEAR(A131),MONTH(A131),1))</f>
        <v/>
      </c>
    </row>
    <row r="132" customFormat="false" ht="15" hidden="false" customHeight="false" outlineLevel="0" collapsed="false">
      <c r="A132" s="22"/>
      <c r="B132" s="23"/>
      <c r="C132" s="23"/>
      <c r="D132" s="24"/>
      <c r="E132" s="23"/>
      <c r="F132" s="15" t="str">
        <f aca="false">IF(B132="","",IFERROR(INDEX(Configurações!$B$7:$B$30,MATCH(B132,Configurações!$A$7:$A$30,0)),"?"))</f>
        <v/>
      </c>
      <c r="G132" s="25" t="str">
        <f aca="false">IF(A132="","",A132-WEEKDAY(A132,2)+1)</f>
        <v/>
      </c>
      <c r="H132" s="26" t="str">
        <f aca="false">IF(A132="","",DATE(YEAR(A132),MONTH(A132),1))</f>
        <v/>
      </c>
    </row>
    <row r="133" customFormat="false" ht="15" hidden="false" customHeight="false" outlineLevel="0" collapsed="false">
      <c r="A133" s="22"/>
      <c r="B133" s="23"/>
      <c r="C133" s="23"/>
      <c r="D133" s="24"/>
      <c r="E133" s="23"/>
      <c r="F133" s="15" t="str">
        <f aca="false">IF(B133="","",IFERROR(INDEX(Configurações!$B$7:$B$30,MATCH(B133,Configurações!$A$7:$A$30,0)),"?"))</f>
        <v/>
      </c>
      <c r="G133" s="25" t="str">
        <f aca="false">IF(A133="","",A133-WEEKDAY(A133,2)+1)</f>
        <v/>
      </c>
      <c r="H133" s="26" t="str">
        <f aca="false">IF(A133="","",DATE(YEAR(A133),MONTH(A133),1))</f>
        <v/>
      </c>
    </row>
    <row r="134" customFormat="false" ht="15" hidden="false" customHeight="false" outlineLevel="0" collapsed="false">
      <c r="A134" s="22"/>
      <c r="B134" s="23"/>
      <c r="C134" s="23"/>
      <c r="D134" s="24"/>
      <c r="E134" s="23"/>
      <c r="F134" s="15" t="str">
        <f aca="false">IF(B134="","",IFERROR(INDEX(Configurações!$B$7:$B$30,MATCH(B134,Configurações!$A$7:$A$30,0)),"?"))</f>
        <v/>
      </c>
      <c r="G134" s="25" t="str">
        <f aca="false">IF(A134="","",A134-WEEKDAY(A134,2)+1)</f>
        <v/>
      </c>
      <c r="H134" s="26" t="str">
        <f aca="false">IF(A134="","",DATE(YEAR(A134),MONTH(A134),1))</f>
        <v/>
      </c>
    </row>
    <row r="135" customFormat="false" ht="15" hidden="false" customHeight="false" outlineLevel="0" collapsed="false">
      <c r="A135" s="22"/>
      <c r="B135" s="23"/>
      <c r="C135" s="23"/>
      <c r="D135" s="24"/>
      <c r="E135" s="23"/>
      <c r="F135" s="15" t="str">
        <f aca="false">IF(B135="","",IFERROR(INDEX(Configurações!$B$7:$B$30,MATCH(B135,Configurações!$A$7:$A$30,0)),"?"))</f>
        <v/>
      </c>
      <c r="G135" s="25" t="str">
        <f aca="false">IF(A135="","",A135-WEEKDAY(A135,2)+1)</f>
        <v/>
      </c>
      <c r="H135" s="26" t="str">
        <f aca="false">IF(A135="","",DATE(YEAR(A135),MONTH(A135),1))</f>
        <v/>
      </c>
    </row>
    <row r="136" customFormat="false" ht="15" hidden="false" customHeight="false" outlineLevel="0" collapsed="false">
      <c r="A136" s="22"/>
      <c r="B136" s="23"/>
      <c r="C136" s="23"/>
      <c r="D136" s="24"/>
      <c r="E136" s="23"/>
      <c r="F136" s="15" t="str">
        <f aca="false">IF(B136="","",IFERROR(INDEX(Configurações!$B$7:$B$30,MATCH(B136,Configurações!$A$7:$A$30,0)),"?"))</f>
        <v/>
      </c>
      <c r="G136" s="25" t="str">
        <f aca="false">IF(A136="","",A136-WEEKDAY(A136,2)+1)</f>
        <v/>
      </c>
      <c r="H136" s="26" t="str">
        <f aca="false">IF(A136="","",DATE(YEAR(A136),MONTH(A136),1))</f>
        <v/>
      </c>
    </row>
    <row r="137" customFormat="false" ht="15" hidden="false" customHeight="false" outlineLevel="0" collapsed="false">
      <c r="A137" s="22"/>
      <c r="B137" s="23"/>
      <c r="C137" s="23"/>
      <c r="D137" s="24"/>
      <c r="E137" s="23"/>
      <c r="F137" s="15" t="str">
        <f aca="false">IF(B137="","",IFERROR(INDEX(Configurações!$B$7:$B$30,MATCH(B137,Configurações!$A$7:$A$30,0)),"?"))</f>
        <v/>
      </c>
      <c r="G137" s="25" t="str">
        <f aca="false">IF(A137="","",A137-WEEKDAY(A137,2)+1)</f>
        <v/>
      </c>
      <c r="H137" s="26" t="str">
        <f aca="false">IF(A137="","",DATE(YEAR(A137),MONTH(A137),1))</f>
        <v/>
      </c>
    </row>
    <row r="138" customFormat="false" ht="15" hidden="false" customHeight="false" outlineLevel="0" collapsed="false">
      <c r="A138" s="22"/>
      <c r="B138" s="23"/>
      <c r="C138" s="23"/>
      <c r="D138" s="24"/>
      <c r="E138" s="23"/>
      <c r="F138" s="15" t="str">
        <f aca="false">IF(B138="","",IFERROR(INDEX(Configurações!$B$7:$B$30,MATCH(B138,Configurações!$A$7:$A$30,0)),"?"))</f>
        <v/>
      </c>
      <c r="G138" s="25" t="str">
        <f aca="false">IF(A138="","",A138-WEEKDAY(A138,2)+1)</f>
        <v/>
      </c>
      <c r="H138" s="26" t="str">
        <f aca="false">IF(A138="","",DATE(YEAR(A138),MONTH(A138),1))</f>
        <v/>
      </c>
    </row>
    <row r="139" customFormat="false" ht="15" hidden="false" customHeight="false" outlineLevel="0" collapsed="false">
      <c r="A139" s="22"/>
      <c r="B139" s="23"/>
      <c r="C139" s="23"/>
      <c r="D139" s="24"/>
      <c r="E139" s="23"/>
      <c r="F139" s="15" t="str">
        <f aca="false">IF(B139="","",IFERROR(INDEX(Configurações!$B$7:$B$30,MATCH(B139,Configurações!$A$7:$A$30,0)),"?"))</f>
        <v/>
      </c>
      <c r="G139" s="25" t="str">
        <f aca="false">IF(A139="","",A139-WEEKDAY(A139,2)+1)</f>
        <v/>
      </c>
      <c r="H139" s="26" t="str">
        <f aca="false">IF(A139="","",DATE(YEAR(A139),MONTH(A139),1))</f>
        <v/>
      </c>
    </row>
    <row r="140" customFormat="false" ht="15" hidden="false" customHeight="false" outlineLevel="0" collapsed="false">
      <c r="A140" s="22"/>
      <c r="B140" s="23"/>
      <c r="C140" s="23"/>
      <c r="D140" s="24"/>
      <c r="E140" s="23"/>
      <c r="F140" s="15" t="str">
        <f aca="false">IF(B140="","",IFERROR(INDEX(Configurações!$B$7:$B$30,MATCH(B140,Configurações!$A$7:$A$30,0)),"?"))</f>
        <v/>
      </c>
      <c r="G140" s="25" t="str">
        <f aca="false">IF(A140="","",A140-WEEKDAY(A140,2)+1)</f>
        <v/>
      </c>
      <c r="H140" s="26" t="str">
        <f aca="false">IF(A140="","",DATE(YEAR(A140),MONTH(A140),1))</f>
        <v/>
      </c>
    </row>
    <row r="141" customFormat="false" ht="15" hidden="false" customHeight="false" outlineLevel="0" collapsed="false">
      <c r="A141" s="22"/>
      <c r="B141" s="23"/>
      <c r="C141" s="23"/>
      <c r="D141" s="24"/>
      <c r="E141" s="23"/>
      <c r="F141" s="15" t="str">
        <f aca="false">IF(B141="","",IFERROR(INDEX(Configurações!$B$7:$B$30,MATCH(B141,Configurações!$A$7:$A$30,0)),"?"))</f>
        <v/>
      </c>
      <c r="G141" s="25" t="str">
        <f aca="false">IF(A141="","",A141-WEEKDAY(A141,2)+1)</f>
        <v/>
      </c>
      <c r="H141" s="26" t="str">
        <f aca="false">IF(A141="","",DATE(YEAR(A141),MONTH(A141),1))</f>
        <v/>
      </c>
    </row>
    <row r="142" customFormat="false" ht="15" hidden="false" customHeight="false" outlineLevel="0" collapsed="false">
      <c r="A142" s="22"/>
      <c r="B142" s="23"/>
      <c r="C142" s="23"/>
      <c r="D142" s="24"/>
      <c r="E142" s="23"/>
      <c r="F142" s="15" t="str">
        <f aca="false">IF(B142="","",IFERROR(INDEX(Configurações!$B$7:$B$30,MATCH(B142,Configurações!$A$7:$A$30,0)),"?"))</f>
        <v/>
      </c>
      <c r="G142" s="25" t="str">
        <f aca="false">IF(A142="","",A142-WEEKDAY(A142,2)+1)</f>
        <v/>
      </c>
      <c r="H142" s="26" t="str">
        <f aca="false">IF(A142="","",DATE(YEAR(A142),MONTH(A142),1))</f>
        <v/>
      </c>
    </row>
    <row r="143" customFormat="false" ht="15" hidden="false" customHeight="false" outlineLevel="0" collapsed="false">
      <c r="A143" s="22"/>
      <c r="B143" s="23"/>
      <c r="C143" s="23"/>
      <c r="D143" s="24"/>
      <c r="E143" s="23"/>
      <c r="F143" s="15" t="str">
        <f aca="false">IF(B143="","",IFERROR(INDEX(Configurações!$B$7:$B$30,MATCH(B143,Configurações!$A$7:$A$30,0)),"?"))</f>
        <v/>
      </c>
      <c r="G143" s="25" t="str">
        <f aca="false">IF(A143="","",A143-WEEKDAY(A143,2)+1)</f>
        <v/>
      </c>
      <c r="H143" s="26" t="str">
        <f aca="false">IF(A143="","",DATE(YEAR(A143),MONTH(A143),1))</f>
        <v/>
      </c>
    </row>
    <row r="144" customFormat="false" ht="15" hidden="false" customHeight="false" outlineLevel="0" collapsed="false">
      <c r="A144" s="22"/>
      <c r="B144" s="23"/>
      <c r="C144" s="23"/>
      <c r="D144" s="24"/>
      <c r="E144" s="23"/>
      <c r="F144" s="15" t="str">
        <f aca="false">IF(B144="","",IFERROR(INDEX(Configurações!$B$7:$B$30,MATCH(B144,Configurações!$A$7:$A$30,0)),"?"))</f>
        <v/>
      </c>
      <c r="G144" s="25" t="str">
        <f aca="false">IF(A144="","",A144-WEEKDAY(A144,2)+1)</f>
        <v/>
      </c>
      <c r="H144" s="26" t="str">
        <f aca="false">IF(A144="","",DATE(YEAR(A144),MONTH(A144),1))</f>
        <v/>
      </c>
    </row>
    <row r="145" customFormat="false" ht="15" hidden="false" customHeight="false" outlineLevel="0" collapsed="false">
      <c r="A145" s="22"/>
      <c r="B145" s="23"/>
      <c r="C145" s="23"/>
      <c r="D145" s="24"/>
      <c r="E145" s="23"/>
      <c r="F145" s="15" t="str">
        <f aca="false">IF(B145="","",IFERROR(INDEX(Configurações!$B$7:$B$30,MATCH(B145,Configurações!$A$7:$A$30,0)),"?"))</f>
        <v/>
      </c>
      <c r="G145" s="25" t="str">
        <f aca="false">IF(A145="","",A145-WEEKDAY(A145,2)+1)</f>
        <v/>
      </c>
      <c r="H145" s="26" t="str">
        <f aca="false">IF(A145="","",DATE(YEAR(A145),MONTH(A145),1))</f>
        <v/>
      </c>
    </row>
    <row r="146" customFormat="false" ht="15" hidden="false" customHeight="false" outlineLevel="0" collapsed="false">
      <c r="A146" s="22"/>
      <c r="B146" s="23"/>
      <c r="C146" s="23"/>
      <c r="D146" s="24"/>
      <c r="E146" s="23"/>
      <c r="F146" s="15" t="str">
        <f aca="false">IF(B146="","",IFERROR(INDEX(Configurações!$B$7:$B$30,MATCH(B146,Configurações!$A$7:$A$30,0)),"?"))</f>
        <v/>
      </c>
      <c r="G146" s="25" t="str">
        <f aca="false">IF(A146="","",A146-WEEKDAY(A146,2)+1)</f>
        <v/>
      </c>
      <c r="H146" s="26" t="str">
        <f aca="false">IF(A146="","",DATE(YEAR(A146),MONTH(A146),1))</f>
        <v/>
      </c>
    </row>
    <row r="147" customFormat="false" ht="15" hidden="false" customHeight="false" outlineLevel="0" collapsed="false">
      <c r="A147" s="22"/>
      <c r="B147" s="23"/>
      <c r="C147" s="23"/>
      <c r="D147" s="24"/>
      <c r="E147" s="23"/>
      <c r="F147" s="15" t="str">
        <f aca="false">IF(B147="","",IFERROR(INDEX(Configurações!$B$7:$B$30,MATCH(B147,Configurações!$A$7:$A$30,0)),"?"))</f>
        <v/>
      </c>
      <c r="G147" s="25" t="str">
        <f aca="false">IF(A147="","",A147-WEEKDAY(A147,2)+1)</f>
        <v/>
      </c>
      <c r="H147" s="26" t="str">
        <f aca="false">IF(A147="","",DATE(YEAR(A147),MONTH(A147),1))</f>
        <v/>
      </c>
    </row>
    <row r="148" customFormat="false" ht="15" hidden="false" customHeight="false" outlineLevel="0" collapsed="false">
      <c r="A148" s="22"/>
      <c r="B148" s="23"/>
      <c r="C148" s="23"/>
      <c r="D148" s="24"/>
      <c r="E148" s="23"/>
      <c r="F148" s="15" t="str">
        <f aca="false">IF(B148="","",IFERROR(INDEX(Configurações!$B$7:$B$30,MATCH(B148,Configurações!$A$7:$A$30,0)),"?"))</f>
        <v/>
      </c>
      <c r="G148" s="25" t="str">
        <f aca="false">IF(A148="","",A148-WEEKDAY(A148,2)+1)</f>
        <v/>
      </c>
      <c r="H148" s="26" t="str">
        <f aca="false">IF(A148="","",DATE(YEAR(A148),MONTH(A148),1))</f>
        <v/>
      </c>
    </row>
    <row r="149" customFormat="false" ht="15" hidden="false" customHeight="false" outlineLevel="0" collapsed="false">
      <c r="A149" s="22"/>
      <c r="B149" s="23"/>
      <c r="C149" s="23"/>
      <c r="D149" s="24"/>
      <c r="E149" s="23"/>
      <c r="F149" s="15" t="str">
        <f aca="false">IF(B149="","",IFERROR(INDEX(Configurações!$B$7:$B$30,MATCH(B149,Configurações!$A$7:$A$30,0)),"?"))</f>
        <v/>
      </c>
      <c r="G149" s="25" t="str">
        <f aca="false">IF(A149="","",A149-WEEKDAY(A149,2)+1)</f>
        <v/>
      </c>
      <c r="H149" s="26" t="str">
        <f aca="false">IF(A149="","",DATE(YEAR(A149),MONTH(A149),1))</f>
        <v/>
      </c>
    </row>
    <row r="150" customFormat="false" ht="15" hidden="false" customHeight="false" outlineLevel="0" collapsed="false">
      <c r="A150" s="22"/>
      <c r="B150" s="23"/>
      <c r="C150" s="23"/>
      <c r="D150" s="24"/>
      <c r="E150" s="23"/>
      <c r="F150" s="15" t="str">
        <f aca="false">IF(B150="","",IFERROR(INDEX(Configurações!$B$7:$B$30,MATCH(B150,Configurações!$A$7:$A$30,0)),"?"))</f>
        <v/>
      </c>
      <c r="G150" s="25" t="str">
        <f aca="false">IF(A150="","",A150-WEEKDAY(A150,2)+1)</f>
        <v/>
      </c>
      <c r="H150" s="26" t="str">
        <f aca="false">IF(A150="","",DATE(YEAR(A150),MONTH(A150),1))</f>
        <v/>
      </c>
    </row>
    <row r="151" customFormat="false" ht="15" hidden="false" customHeight="false" outlineLevel="0" collapsed="false">
      <c r="A151" s="22"/>
      <c r="B151" s="23"/>
      <c r="C151" s="23"/>
      <c r="D151" s="24"/>
      <c r="E151" s="23"/>
      <c r="F151" s="15" t="str">
        <f aca="false">IF(B151="","",IFERROR(INDEX(Configurações!$B$7:$B$30,MATCH(B151,Configurações!$A$7:$A$30,0)),"?"))</f>
        <v/>
      </c>
      <c r="G151" s="25" t="str">
        <f aca="false">IF(A151="","",A151-WEEKDAY(A151,2)+1)</f>
        <v/>
      </c>
      <c r="H151" s="26" t="str">
        <f aca="false">IF(A151="","",DATE(YEAR(A151),MONTH(A151),1))</f>
        <v/>
      </c>
    </row>
    <row r="152" customFormat="false" ht="15" hidden="false" customHeight="false" outlineLevel="0" collapsed="false">
      <c r="A152" s="22"/>
      <c r="B152" s="23"/>
      <c r="C152" s="23"/>
      <c r="D152" s="24"/>
      <c r="E152" s="23"/>
      <c r="F152" s="15" t="str">
        <f aca="false">IF(B152="","",IFERROR(INDEX(Configurações!$B$7:$B$30,MATCH(B152,Configurações!$A$7:$A$30,0)),"?"))</f>
        <v/>
      </c>
      <c r="G152" s="25" t="str">
        <f aca="false">IF(A152="","",A152-WEEKDAY(A152,2)+1)</f>
        <v/>
      </c>
      <c r="H152" s="26" t="str">
        <f aca="false">IF(A152="","",DATE(YEAR(A152),MONTH(A152),1))</f>
        <v/>
      </c>
    </row>
    <row r="153" customFormat="false" ht="15" hidden="false" customHeight="false" outlineLevel="0" collapsed="false">
      <c r="A153" s="22"/>
      <c r="B153" s="23"/>
      <c r="C153" s="23"/>
      <c r="D153" s="24"/>
      <c r="E153" s="23"/>
      <c r="F153" s="15" t="str">
        <f aca="false">IF(B153="","",IFERROR(INDEX(Configurações!$B$7:$B$30,MATCH(B153,Configurações!$A$7:$A$30,0)),"?"))</f>
        <v/>
      </c>
      <c r="G153" s="25" t="str">
        <f aca="false">IF(A153="","",A153-WEEKDAY(A153,2)+1)</f>
        <v/>
      </c>
      <c r="H153" s="26" t="str">
        <f aca="false">IF(A153="","",DATE(YEAR(A153),MONTH(A153),1))</f>
        <v/>
      </c>
    </row>
    <row r="154" customFormat="false" ht="15" hidden="false" customHeight="false" outlineLevel="0" collapsed="false">
      <c r="A154" s="22"/>
      <c r="B154" s="23"/>
      <c r="C154" s="23"/>
      <c r="D154" s="24"/>
      <c r="E154" s="23"/>
      <c r="F154" s="15" t="str">
        <f aca="false">IF(B154="","",IFERROR(INDEX(Configurações!$B$7:$B$30,MATCH(B154,Configurações!$A$7:$A$30,0)),"?"))</f>
        <v/>
      </c>
      <c r="G154" s="25" t="str">
        <f aca="false">IF(A154="","",A154-WEEKDAY(A154,2)+1)</f>
        <v/>
      </c>
      <c r="H154" s="26" t="str">
        <f aca="false">IF(A154="","",DATE(YEAR(A154),MONTH(A154),1))</f>
        <v/>
      </c>
    </row>
    <row r="155" customFormat="false" ht="15" hidden="false" customHeight="false" outlineLevel="0" collapsed="false">
      <c r="A155" s="22"/>
      <c r="B155" s="23"/>
      <c r="C155" s="23"/>
      <c r="D155" s="24"/>
      <c r="E155" s="23"/>
      <c r="F155" s="15" t="str">
        <f aca="false">IF(B155="","",IFERROR(INDEX(Configurações!$B$7:$B$30,MATCH(B155,Configurações!$A$7:$A$30,0)),"?"))</f>
        <v/>
      </c>
      <c r="G155" s="25" t="str">
        <f aca="false">IF(A155="","",A155-WEEKDAY(A155,2)+1)</f>
        <v/>
      </c>
      <c r="H155" s="26" t="str">
        <f aca="false">IF(A155="","",DATE(YEAR(A155),MONTH(A155),1))</f>
        <v/>
      </c>
    </row>
    <row r="156" customFormat="false" ht="15" hidden="false" customHeight="false" outlineLevel="0" collapsed="false">
      <c r="A156" s="22"/>
      <c r="B156" s="23"/>
      <c r="C156" s="23"/>
      <c r="D156" s="24"/>
      <c r="E156" s="23"/>
      <c r="F156" s="15" t="str">
        <f aca="false">IF(B156="","",IFERROR(INDEX(Configurações!$B$7:$B$30,MATCH(B156,Configurações!$A$7:$A$30,0)),"?"))</f>
        <v/>
      </c>
      <c r="G156" s="25" t="str">
        <f aca="false">IF(A156="","",A156-WEEKDAY(A156,2)+1)</f>
        <v/>
      </c>
      <c r="H156" s="26" t="str">
        <f aca="false">IF(A156="","",DATE(YEAR(A156),MONTH(A156),1))</f>
        <v/>
      </c>
    </row>
    <row r="157" customFormat="false" ht="15" hidden="false" customHeight="false" outlineLevel="0" collapsed="false">
      <c r="A157" s="22"/>
      <c r="B157" s="23"/>
      <c r="C157" s="23"/>
      <c r="D157" s="24"/>
      <c r="E157" s="23"/>
      <c r="F157" s="15" t="str">
        <f aca="false">IF(B157="","",IFERROR(INDEX(Configurações!$B$7:$B$30,MATCH(B157,Configurações!$A$7:$A$30,0)),"?"))</f>
        <v/>
      </c>
      <c r="G157" s="25" t="str">
        <f aca="false">IF(A157="","",A157-WEEKDAY(A157,2)+1)</f>
        <v/>
      </c>
      <c r="H157" s="26" t="str">
        <f aca="false">IF(A157="","",DATE(YEAR(A157),MONTH(A157),1))</f>
        <v/>
      </c>
    </row>
    <row r="158" customFormat="false" ht="15" hidden="false" customHeight="false" outlineLevel="0" collapsed="false">
      <c r="A158" s="22"/>
      <c r="B158" s="23"/>
      <c r="C158" s="23"/>
      <c r="D158" s="24"/>
      <c r="E158" s="23"/>
      <c r="F158" s="15" t="str">
        <f aca="false">IF(B158="","",IFERROR(INDEX(Configurações!$B$7:$B$30,MATCH(B158,Configurações!$A$7:$A$30,0)),"?"))</f>
        <v/>
      </c>
      <c r="G158" s="25" t="str">
        <f aca="false">IF(A158="","",A158-WEEKDAY(A158,2)+1)</f>
        <v/>
      </c>
      <c r="H158" s="26" t="str">
        <f aca="false">IF(A158="","",DATE(YEAR(A158),MONTH(A158),1))</f>
        <v/>
      </c>
    </row>
    <row r="159" customFormat="false" ht="15" hidden="false" customHeight="false" outlineLevel="0" collapsed="false">
      <c r="A159" s="22"/>
      <c r="B159" s="23"/>
      <c r="C159" s="23"/>
      <c r="D159" s="24"/>
      <c r="E159" s="23"/>
      <c r="F159" s="15" t="str">
        <f aca="false">IF(B159="","",IFERROR(INDEX(Configurações!$B$7:$B$30,MATCH(B159,Configurações!$A$7:$A$30,0)),"?"))</f>
        <v/>
      </c>
      <c r="G159" s="25" t="str">
        <f aca="false">IF(A159="","",A159-WEEKDAY(A159,2)+1)</f>
        <v/>
      </c>
      <c r="H159" s="26" t="str">
        <f aca="false">IF(A159="","",DATE(YEAR(A159),MONTH(A159),1))</f>
        <v/>
      </c>
    </row>
    <row r="160" customFormat="false" ht="15" hidden="false" customHeight="false" outlineLevel="0" collapsed="false">
      <c r="A160" s="22"/>
      <c r="B160" s="23"/>
      <c r="C160" s="23"/>
      <c r="D160" s="24"/>
      <c r="E160" s="23"/>
      <c r="F160" s="15" t="str">
        <f aca="false">IF(B160="","",IFERROR(INDEX(Configurações!$B$7:$B$30,MATCH(B160,Configurações!$A$7:$A$30,0)),"?"))</f>
        <v/>
      </c>
      <c r="G160" s="25" t="str">
        <f aca="false">IF(A160="","",A160-WEEKDAY(A160,2)+1)</f>
        <v/>
      </c>
      <c r="H160" s="26" t="str">
        <f aca="false">IF(A160="","",DATE(YEAR(A160),MONTH(A160),1))</f>
        <v/>
      </c>
    </row>
    <row r="161" customFormat="false" ht="15" hidden="false" customHeight="false" outlineLevel="0" collapsed="false">
      <c r="A161" s="22"/>
      <c r="B161" s="23"/>
      <c r="C161" s="23"/>
      <c r="D161" s="24"/>
      <c r="E161" s="23"/>
      <c r="F161" s="15" t="str">
        <f aca="false">IF(B161="","",IFERROR(INDEX(Configurações!$B$7:$B$30,MATCH(B161,Configurações!$A$7:$A$30,0)),"?"))</f>
        <v/>
      </c>
      <c r="G161" s="25" t="str">
        <f aca="false">IF(A161="","",A161-WEEKDAY(A161,2)+1)</f>
        <v/>
      </c>
      <c r="H161" s="26" t="str">
        <f aca="false">IF(A161="","",DATE(YEAR(A161),MONTH(A161),1))</f>
        <v/>
      </c>
    </row>
    <row r="162" customFormat="false" ht="15" hidden="false" customHeight="false" outlineLevel="0" collapsed="false">
      <c r="A162" s="22"/>
      <c r="B162" s="23"/>
      <c r="C162" s="23"/>
      <c r="D162" s="24"/>
      <c r="E162" s="23"/>
      <c r="F162" s="15" t="str">
        <f aca="false">IF(B162="","",IFERROR(INDEX(Configurações!$B$7:$B$30,MATCH(B162,Configurações!$A$7:$A$30,0)),"?"))</f>
        <v/>
      </c>
      <c r="G162" s="25" t="str">
        <f aca="false">IF(A162="","",A162-WEEKDAY(A162,2)+1)</f>
        <v/>
      </c>
      <c r="H162" s="26" t="str">
        <f aca="false">IF(A162="","",DATE(YEAR(A162),MONTH(A162),1))</f>
        <v/>
      </c>
    </row>
    <row r="163" customFormat="false" ht="15" hidden="false" customHeight="false" outlineLevel="0" collapsed="false">
      <c r="A163" s="22"/>
      <c r="B163" s="23"/>
      <c r="C163" s="23"/>
      <c r="D163" s="24"/>
      <c r="E163" s="23"/>
      <c r="F163" s="15" t="str">
        <f aca="false">IF(B163="","",IFERROR(INDEX(Configurações!$B$7:$B$30,MATCH(B163,Configurações!$A$7:$A$30,0)),"?"))</f>
        <v/>
      </c>
      <c r="G163" s="25" t="str">
        <f aca="false">IF(A163="","",A163-WEEKDAY(A163,2)+1)</f>
        <v/>
      </c>
      <c r="H163" s="26" t="str">
        <f aca="false">IF(A163="","",DATE(YEAR(A163),MONTH(A163),1))</f>
        <v/>
      </c>
    </row>
    <row r="164" customFormat="false" ht="15" hidden="false" customHeight="false" outlineLevel="0" collapsed="false">
      <c r="A164" s="22"/>
      <c r="B164" s="23"/>
      <c r="C164" s="23"/>
      <c r="D164" s="24"/>
      <c r="E164" s="23"/>
      <c r="F164" s="15" t="str">
        <f aca="false">IF(B164="","",IFERROR(INDEX(Configurações!$B$7:$B$30,MATCH(B164,Configurações!$A$7:$A$30,0)),"?"))</f>
        <v/>
      </c>
      <c r="G164" s="25" t="str">
        <f aca="false">IF(A164="","",A164-WEEKDAY(A164,2)+1)</f>
        <v/>
      </c>
      <c r="H164" s="26" t="str">
        <f aca="false">IF(A164="","",DATE(YEAR(A164),MONTH(A164),1))</f>
        <v/>
      </c>
    </row>
    <row r="165" customFormat="false" ht="15" hidden="false" customHeight="false" outlineLevel="0" collapsed="false">
      <c r="A165" s="22"/>
      <c r="B165" s="23"/>
      <c r="C165" s="23"/>
      <c r="D165" s="24"/>
      <c r="E165" s="23"/>
      <c r="F165" s="15" t="str">
        <f aca="false">IF(B165="","",IFERROR(INDEX(Configurações!$B$7:$B$30,MATCH(B165,Configurações!$A$7:$A$30,0)),"?"))</f>
        <v/>
      </c>
      <c r="G165" s="25" t="str">
        <f aca="false">IF(A165="","",A165-WEEKDAY(A165,2)+1)</f>
        <v/>
      </c>
      <c r="H165" s="26" t="str">
        <f aca="false">IF(A165="","",DATE(YEAR(A165),MONTH(A165),1))</f>
        <v/>
      </c>
    </row>
    <row r="166" customFormat="false" ht="15" hidden="false" customHeight="false" outlineLevel="0" collapsed="false">
      <c r="A166" s="22"/>
      <c r="B166" s="23"/>
      <c r="C166" s="23"/>
      <c r="D166" s="24"/>
      <c r="E166" s="23"/>
      <c r="F166" s="15" t="str">
        <f aca="false">IF(B166="","",IFERROR(INDEX(Configurações!$B$7:$B$30,MATCH(B166,Configurações!$A$7:$A$30,0)),"?"))</f>
        <v/>
      </c>
      <c r="G166" s="25" t="str">
        <f aca="false">IF(A166="","",A166-WEEKDAY(A166,2)+1)</f>
        <v/>
      </c>
      <c r="H166" s="26" t="str">
        <f aca="false">IF(A166="","",DATE(YEAR(A166),MONTH(A166),1))</f>
        <v/>
      </c>
    </row>
    <row r="167" customFormat="false" ht="15" hidden="false" customHeight="false" outlineLevel="0" collapsed="false">
      <c r="A167" s="22"/>
      <c r="B167" s="23"/>
      <c r="C167" s="23"/>
      <c r="D167" s="24"/>
      <c r="E167" s="23"/>
      <c r="F167" s="15" t="str">
        <f aca="false">IF(B167="","",IFERROR(INDEX(Configurações!$B$7:$B$30,MATCH(B167,Configurações!$A$7:$A$30,0)),"?"))</f>
        <v/>
      </c>
      <c r="G167" s="25" t="str">
        <f aca="false">IF(A167="","",A167-WEEKDAY(A167,2)+1)</f>
        <v/>
      </c>
      <c r="H167" s="26" t="str">
        <f aca="false">IF(A167="","",DATE(YEAR(A167),MONTH(A167),1))</f>
        <v/>
      </c>
    </row>
    <row r="168" customFormat="false" ht="15" hidden="false" customHeight="false" outlineLevel="0" collapsed="false">
      <c r="A168" s="22"/>
      <c r="B168" s="23"/>
      <c r="C168" s="23"/>
      <c r="D168" s="24"/>
      <c r="E168" s="23"/>
      <c r="F168" s="15" t="str">
        <f aca="false">IF(B168="","",IFERROR(INDEX(Configurações!$B$7:$B$30,MATCH(B168,Configurações!$A$7:$A$30,0)),"?"))</f>
        <v/>
      </c>
      <c r="G168" s="25" t="str">
        <f aca="false">IF(A168="","",A168-WEEKDAY(A168,2)+1)</f>
        <v/>
      </c>
      <c r="H168" s="26" t="str">
        <f aca="false">IF(A168="","",DATE(YEAR(A168),MONTH(A168),1))</f>
        <v/>
      </c>
    </row>
    <row r="169" customFormat="false" ht="15" hidden="false" customHeight="false" outlineLevel="0" collapsed="false">
      <c r="A169" s="22"/>
      <c r="B169" s="23"/>
      <c r="C169" s="23"/>
      <c r="D169" s="24"/>
      <c r="E169" s="23"/>
      <c r="F169" s="15" t="str">
        <f aca="false">IF(B169="","",IFERROR(INDEX(Configurações!$B$7:$B$30,MATCH(B169,Configurações!$A$7:$A$30,0)),"?"))</f>
        <v/>
      </c>
      <c r="G169" s="25" t="str">
        <f aca="false">IF(A169="","",A169-WEEKDAY(A169,2)+1)</f>
        <v/>
      </c>
      <c r="H169" s="26" t="str">
        <f aca="false">IF(A169="","",DATE(YEAR(A169),MONTH(A169),1))</f>
        <v/>
      </c>
    </row>
    <row r="170" customFormat="false" ht="15" hidden="false" customHeight="false" outlineLevel="0" collapsed="false">
      <c r="A170" s="22"/>
      <c r="B170" s="23"/>
      <c r="C170" s="23"/>
      <c r="D170" s="24"/>
      <c r="E170" s="23"/>
      <c r="F170" s="15" t="str">
        <f aca="false">IF(B170="","",IFERROR(INDEX(Configurações!$B$7:$B$30,MATCH(B170,Configurações!$A$7:$A$30,0)),"?"))</f>
        <v/>
      </c>
      <c r="G170" s="25" t="str">
        <f aca="false">IF(A170="","",A170-WEEKDAY(A170,2)+1)</f>
        <v/>
      </c>
      <c r="H170" s="26" t="str">
        <f aca="false">IF(A170="","",DATE(YEAR(A170),MONTH(A170),1))</f>
        <v/>
      </c>
    </row>
    <row r="171" customFormat="false" ht="15" hidden="false" customHeight="false" outlineLevel="0" collapsed="false">
      <c r="A171" s="22"/>
      <c r="B171" s="23"/>
      <c r="C171" s="23"/>
      <c r="D171" s="24"/>
      <c r="E171" s="23"/>
      <c r="F171" s="15" t="str">
        <f aca="false">IF(B171="","",IFERROR(INDEX(Configurações!$B$7:$B$30,MATCH(B171,Configurações!$A$7:$A$30,0)),"?"))</f>
        <v/>
      </c>
      <c r="G171" s="25" t="str">
        <f aca="false">IF(A171="","",A171-WEEKDAY(A171,2)+1)</f>
        <v/>
      </c>
      <c r="H171" s="26" t="str">
        <f aca="false">IF(A171="","",DATE(YEAR(A171),MONTH(A171),1))</f>
        <v/>
      </c>
    </row>
    <row r="172" customFormat="false" ht="15" hidden="false" customHeight="false" outlineLevel="0" collapsed="false">
      <c r="A172" s="22"/>
      <c r="B172" s="23"/>
      <c r="C172" s="23"/>
      <c r="D172" s="24"/>
      <c r="E172" s="23"/>
      <c r="F172" s="15" t="str">
        <f aca="false">IF(B172="","",IFERROR(INDEX(Configurações!$B$7:$B$30,MATCH(B172,Configurações!$A$7:$A$30,0)),"?"))</f>
        <v/>
      </c>
      <c r="G172" s="25" t="str">
        <f aca="false">IF(A172="","",A172-WEEKDAY(A172,2)+1)</f>
        <v/>
      </c>
      <c r="H172" s="26" t="str">
        <f aca="false">IF(A172="","",DATE(YEAR(A172),MONTH(A172),1))</f>
        <v/>
      </c>
    </row>
    <row r="173" customFormat="false" ht="15" hidden="false" customHeight="false" outlineLevel="0" collapsed="false">
      <c r="A173" s="22"/>
      <c r="B173" s="23"/>
      <c r="C173" s="23"/>
      <c r="D173" s="24"/>
      <c r="E173" s="23"/>
      <c r="F173" s="15" t="str">
        <f aca="false">IF(B173="","",IFERROR(INDEX(Configurações!$B$7:$B$30,MATCH(B173,Configurações!$A$7:$A$30,0)),"?"))</f>
        <v/>
      </c>
      <c r="G173" s="25" t="str">
        <f aca="false">IF(A173="","",A173-WEEKDAY(A173,2)+1)</f>
        <v/>
      </c>
      <c r="H173" s="26" t="str">
        <f aca="false">IF(A173="","",DATE(YEAR(A173),MONTH(A173),1))</f>
        <v/>
      </c>
    </row>
    <row r="174" customFormat="false" ht="15" hidden="false" customHeight="false" outlineLevel="0" collapsed="false">
      <c r="A174" s="22"/>
      <c r="B174" s="23"/>
      <c r="C174" s="23"/>
      <c r="D174" s="24"/>
      <c r="E174" s="23"/>
      <c r="F174" s="15" t="str">
        <f aca="false">IF(B174="","",IFERROR(INDEX(Configurações!$B$7:$B$30,MATCH(B174,Configurações!$A$7:$A$30,0)),"?"))</f>
        <v/>
      </c>
      <c r="G174" s="25" t="str">
        <f aca="false">IF(A174="","",A174-WEEKDAY(A174,2)+1)</f>
        <v/>
      </c>
      <c r="H174" s="26" t="str">
        <f aca="false">IF(A174="","",DATE(YEAR(A174),MONTH(A174),1))</f>
        <v/>
      </c>
    </row>
    <row r="175" customFormat="false" ht="15" hidden="false" customHeight="false" outlineLevel="0" collapsed="false">
      <c r="A175" s="22"/>
      <c r="B175" s="23"/>
      <c r="C175" s="23"/>
      <c r="D175" s="24"/>
      <c r="E175" s="23"/>
      <c r="F175" s="15" t="str">
        <f aca="false">IF(B175="","",IFERROR(INDEX(Configurações!$B$7:$B$30,MATCH(B175,Configurações!$A$7:$A$30,0)),"?"))</f>
        <v/>
      </c>
      <c r="G175" s="25" t="str">
        <f aca="false">IF(A175="","",A175-WEEKDAY(A175,2)+1)</f>
        <v/>
      </c>
      <c r="H175" s="26" t="str">
        <f aca="false">IF(A175="","",DATE(YEAR(A175),MONTH(A175),1))</f>
        <v/>
      </c>
    </row>
    <row r="176" customFormat="false" ht="15" hidden="false" customHeight="false" outlineLevel="0" collapsed="false">
      <c r="A176" s="22"/>
      <c r="B176" s="23"/>
      <c r="C176" s="23"/>
      <c r="D176" s="24"/>
      <c r="E176" s="23"/>
      <c r="F176" s="15" t="str">
        <f aca="false">IF(B176="","",IFERROR(INDEX(Configurações!$B$7:$B$30,MATCH(B176,Configurações!$A$7:$A$30,0)),"?"))</f>
        <v/>
      </c>
      <c r="G176" s="25" t="str">
        <f aca="false">IF(A176="","",A176-WEEKDAY(A176,2)+1)</f>
        <v/>
      </c>
      <c r="H176" s="26" t="str">
        <f aca="false">IF(A176="","",DATE(YEAR(A176),MONTH(A176),1))</f>
        <v/>
      </c>
    </row>
    <row r="177" customFormat="false" ht="15" hidden="false" customHeight="false" outlineLevel="0" collapsed="false">
      <c r="A177" s="22"/>
      <c r="B177" s="23"/>
      <c r="C177" s="23"/>
      <c r="D177" s="24"/>
      <c r="E177" s="23"/>
      <c r="F177" s="15" t="str">
        <f aca="false">IF(B177="","",IFERROR(INDEX(Configurações!$B$7:$B$30,MATCH(B177,Configurações!$A$7:$A$30,0)),"?"))</f>
        <v/>
      </c>
      <c r="G177" s="25" t="str">
        <f aca="false">IF(A177="","",A177-WEEKDAY(A177,2)+1)</f>
        <v/>
      </c>
      <c r="H177" s="26" t="str">
        <f aca="false">IF(A177="","",DATE(YEAR(A177),MONTH(A177),1))</f>
        <v/>
      </c>
    </row>
    <row r="178" customFormat="false" ht="15" hidden="false" customHeight="false" outlineLevel="0" collapsed="false">
      <c r="A178" s="22"/>
      <c r="B178" s="23"/>
      <c r="C178" s="23"/>
      <c r="D178" s="24"/>
      <c r="E178" s="23"/>
      <c r="F178" s="15" t="str">
        <f aca="false">IF(B178="","",IFERROR(INDEX(Configurações!$B$7:$B$30,MATCH(B178,Configurações!$A$7:$A$30,0)),"?"))</f>
        <v/>
      </c>
      <c r="G178" s="25" t="str">
        <f aca="false">IF(A178="","",A178-WEEKDAY(A178,2)+1)</f>
        <v/>
      </c>
      <c r="H178" s="26" t="str">
        <f aca="false">IF(A178="","",DATE(YEAR(A178),MONTH(A178),1))</f>
        <v/>
      </c>
    </row>
    <row r="179" customFormat="false" ht="15" hidden="false" customHeight="false" outlineLevel="0" collapsed="false">
      <c r="A179" s="22"/>
      <c r="B179" s="23"/>
      <c r="C179" s="23"/>
      <c r="D179" s="24"/>
      <c r="E179" s="23"/>
      <c r="F179" s="15" t="str">
        <f aca="false">IF(B179="","",IFERROR(INDEX(Configurações!$B$7:$B$30,MATCH(B179,Configurações!$A$7:$A$30,0)),"?"))</f>
        <v/>
      </c>
      <c r="G179" s="25" t="str">
        <f aca="false">IF(A179="","",A179-WEEKDAY(A179,2)+1)</f>
        <v/>
      </c>
      <c r="H179" s="26" t="str">
        <f aca="false">IF(A179="","",DATE(YEAR(A179),MONTH(A179),1))</f>
        <v/>
      </c>
    </row>
    <row r="180" customFormat="false" ht="15" hidden="false" customHeight="false" outlineLevel="0" collapsed="false">
      <c r="A180" s="22"/>
      <c r="B180" s="23"/>
      <c r="C180" s="23"/>
      <c r="D180" s="24"/>
      <c r="E180" s="23"/>
      <c r="F180" s="15" t="str">
        <f aca="false">IF(B180="","",IFERROR(INDEX(Configurações!$B$7:$B$30,MATCH(B180,Configurações!$A$7:$A$30,0)),"?"))</f>
        <v/>
      </c>
      <c r="G180" s="25" t="str">
        <f aca="false">IF(A180="","",A180-WEEKDAY(A180,2)+1)</f>
        <v/>
      </c>
      <c r="H180" s="26" t="str">
        <f aca="false">IF(A180="","",DATE(YEAR(A180),MONTH(A180),1))</f>
        <v/>
      </c>
    </row>
    <row r="181" customFormat="false" ht="15" hidden="false" customHeight="false" outlineLevel="0" collapsed="false">
      <c r="A181" s="22"/>
      <c r="B181" s="23"/>
      <c r="C181" s="23"/>
      <c r="D181" s="24"/>
      <c r="E181" s="23"/>
      <c r="F181" s="15" t="str">
        <f aca="false">IF(B181="","",IFERROR(INDEX(Configurações!$B$7:$B$30,MATCH(B181,Configurações!$A$7:$A$30,0)),"?"))</f>
        <v/>
      </c>
      <c r="G181" s="25" t="str">
        <f aca="false">IF(A181="","",A181-WEEKDAY(A181,2)+1)</f>
        <v/>
      </c>
      <c r="H181" s="26" t="str">
        <f aca="false">IF(A181="","",DATE(YEAR(A181),MONTH(A181),1))</f>
        <v/>
      </c>
    </row>
    <row r="182" customFormat="false" ht="15" hidden="false" customHeight="false" outlineLevel="0" collapsed="false">
      <c r="A182" s="22"/>
      <c r="B182" s="23"/>
      <c r="C182" s="23"/>
      <c r="D182" s="24"/>
      <c r="E182" s="23"/>
      <c r="F182" s="15" t="str">
        <f aca="false">IF(B182="","",IFERROR(INDEX(Configurações!$B$7:$B$30,MATCH(B182,Configurações!$A$7:$A$30,0)),"?"))</f>
        <v/>
      </c>
      <c r="G182" s="25" t="str">
        <f aca="false">IF(A182="","",A182-WEEKDAY(A182,2)+1)</f>
        <v/>
      </c>
      <c r="H182" s="26" t="str">
        <f aca="false">IF(A182="","",DATE(YEAR(A182),MONTH(A182),1))</f>
        <v/>
      </c>
    </row>
    <row r="183" customFormat="false" ht="15" hidden="false" customHeight="false" outlineLevel="0" collapsed="false">
      <c r="A183" s="22"/>
      <c r="B183" s="23"/>
      <c r="C183" s="23"/>
      <c r="D183" s="24"/>
      <c r="E183" s="23"/>
      <c r="F183" s="15" t="str">
        <f aca="false">IF(B183="","",IFERROR(INDEX(Configurações!$B$7:$B$30,MATCH(B183,Configurações!$A$7:$A$30,0)),"?"))</f>
        <v/>
      </c>
      <c r="G183" s="25" t="str">
        <f aca="false">IF(A183="","",A183-WEEKDAY(A183,2)+1)</f>
        <v/>
      </c>
      <c r="H183" s="26" t="str">
        <f aca="false">IF(A183="","",DATE(YEAR(A183),MONTH(A183),1))</f>
        <v/>
      </c>
    </row>
    <row r="184" customFormat="false" ht="15" hidden="false" customHeight="false" outlineLevel="0" collapsed="false">
      <c r="A184" s="22"/>
      <c r="B184" s="23"/>
      <c r="C184" s="23"/>
      <c r="D184" s="24"/>
      <c r="E184" s="23"/>
      <c r="F184" s="15" t="str">
        <f aca="false">IF(B184="","",IFERROR(INDEX(Configurações!$B$7:$B$30,MATCH(B184,Configurações!$A$7:$A$30,0)),"?"))</f>
        <v/>
      </c>
      <c r="G184" s="25" t="str">
        <f aca="false">IF(A184="","",A184-WEEKDAY(A184,2)+1)</f>
        <v/>
      </c>
      <c r="H184" s="26" t="str">
        <f aca="false">IF(A184="","",DATE(YEAR(A184),MONTH(A184),1))</f>
        <v/>
      </c>
    </row>
    <row r="185" customFormat="false" ht="15" hidden="false" customHeight="false" outlineLevel="0" collapsed="false">
      <c r="A185" s="22"/>
      <c r="B185" s="23"/>
      <c r="C185" s="23"/>
      <c r="D185" s="24"/>
      <c r="E185" s="23"/>
      <c r="F185" s="15" t="str">
        <f aca="false">IF(B185="","",IFERROR(INDEX(Configurações!$B$7:$B$30,MATCH(B185,Configurações!$A$7:$A$30,0)),"?"))</f>
        <v/>
      </c>
      <c r="G185" s="25" t="str">
        <f aca="false">IF(A185="","",A185-WEEKDAY(A185,2)+1)</f>
        <v/>
      </c>
      <c r="H185" s="26" t="str">
        <f aca="false">IF(A185="","",DATE(YEAR(A185),MONTH(A185),1))</f>
        <v/>
      </c>
    </row>
    <row r="186" customFormat="false" ht="15" hidden="false" customHeight="false" outlineLevel="0" collapsed="false">
      <c r="A186" s="22"/>
      <c r="B186" s="23"/>
      <c r="C186" s="23"/>
      <c r="D186" s="24"/>
      <c r="E186" s="23"/>
      <c r="F186" s="15" t="str">
        <f aca="false">IF(B186="","",IFERROR(INDEX(Configurações!$B$7:$B$30,MATCH(B186,Configurações!$A$7:$A$30,0)),"?"))</f>
        <v/>
      </c>
      <c r="G186" s="25" t="str">
        <f aca="false">IF(A186="","",A186-WEEKDAY(A186,2)+1)</f>
        <v/>
      </c>
      <c r="H186" s="26" t="str">
        <f aca="false">IF(A186="","",DATE(YEAR(A186),MONTH(A186),1))</f>
        <v/>
      </c>
    </row>
    <row r="187" customFormat="false" ht="15" hidden="false" customHeight="false" outlineLevel="0" collapsed="false">
      <c r="A187" s="22"/>
      <c r="B187" s="23"/>
      <c r="C187" s="23"/>
      <c r="D187" s="24"/>
      <c r="E187" s="23"/>
      <c r="F187" s="15" t="str">
        <f aca="false">IF(B187="","",IFERROR(INDEX(Configurações!$B$7:$B$30,MATCH(B187,Configurações!$A$7:$A$30,0)),"?"))</f>
        <v/>
      </c>
      <c r="G187" s="25" t="str">
        <f aca="false">IF(A187="","",A187-WEEKDAY(A187,2)+1)</f>
        <v/>
      </c>
      <c r="H187" s="26" t="str">
        <f aca="false">IF(A187="","",DATE(YEAR(A187),MONTH(A187),1))</f>
        <v/>
      </c>
    </row>
    <row r="188" customFormat="false" ht="15" hidden="false" customHeight="false" outlineLevel="0" collapsed="false">
      <c r="A188" s="22"/>
      <c r="B188" s="23"/>
      <c r="C188" s="23"/>
      <c r="D188" s="24"/>
      <c r="E188" s="23"/>
      <c r="F188" s="15" t="str">
        <f aca="false">IF(B188="","",IFERROR(INDEX(Configurações!$B$7:$B$30,MATCH(B188,Configurações!$A$7:$A$30,0)),"?"))</f>
        <v/>
      </c>
      <c r="G188" s="25" t="str">
        <f aca="false">IF(A188="","",A188-WEEKDAY(A188,2)+1)</f>
        <v/>
      </c>
      <c r="H188" s="26" t="str">
        <f aca="false">IF(A188="","",DATE(YEAR(A188),MONTH(A188),1))</f>
        <v/>
      </c>
    </row>
    <row r="189" customFormat="false" ht="15" hidden="false" customHeight="false" outlineLevel="0" collapsed="false">
      <c r="A189" s="22"/>
      <c r="B189" s="23"/>
      <c r="C189" s="23"/>
      <c r="D189" s="24"/>
      <c r="E189" s="23"/>
      <c r="F189" s="15" t="str">
        <f aca="false">IF(B189="","",IFERROR(INDEX(Configurações!$B$7:$B$30,MATCH(B189,Configurações!$A$7:$A$30,0)),"?"))</f>
        <v/>
      </c>
      <c r="G189" s="25" t="str">
        <f aca="false">IF(A189="","",A189-WEEKDAY(A189,2)+1)</f>
        <v/>
      </c>
      <c r="H189" s="26" t="str">
        <f aca="false">IF(A189="","",DATE(YEAR(A189),MONTH(A189),1))</f>
        <v/>
      </c>
    </row>
    <row r="190" customFormat="false" ht="15" hidden="false" customHeight="false" outlineLevel="0" collapsed="false">
      <c r="A190" s="22"/>
      <c r="B190" s="23"/>
      <c r="C190" s="23"/>
      <c r="D190" s="24"/>
      <c r="E190" s="23"/>
      <c r="F190" s="15" t="str">
        <f aca="false">IF(B190="","",IFERROR(INDEX(Configurações!$B$7:$B$30,MATCH(B190,Configurações!$A$7:$A$30,0)),"?"))</f>
        <v/>
      </c>
      <c r="G190" s="25" t="str">
        <f aca="false">IF(A190="","",A190-WEEKDAY(A190,2)+1)</f>
        <v/>
      </c>
      <c r="H190" s="26" t="str">
        <f aca="false">IF(A190="","",DATE(YEAR(A190),MONTH(A190),1))</f>
        <v/>
      </c>
    </row>
    <row r="191" customFormat="false" ht="15" hidden="false" customHeight="false" outlineLevel="0" collapsed="false">
      <c r="A191" s="22"/>
      <c r="B191" s="23"/>
      <c r="C191" s="23"/>
      <c r="D191" s="24"/>
      <c r="E191" s="23"/>
      <c r="F191" s="15" t="str">
        <f aca="false">IF(B191="","",IFERROR(INDEX(Configurações!$B$7:$B$30,MATCH(B191,Configurações!$A$7:$A$30,0)),"?"))</f>
        <v/>
      </c>
      <c r="G191" s="25" t="str">
        <f aca="false">IF(A191="","",A191-WEEKDAY(A191,2)+1)</f>
        <v/>
      </c>
      <c r="H191" s="26" t="str">
        <f aca="false">IF(A191="","",DATE(YEAR(A191),MONTH(A191),1))</f>
        <v/>
      </c>
    </row>
    <row r="192" customFormat="false" ht="15" hidden="false" customHeight="false" outlineLevel="0" collapsed="false">
      <c r="A192" s="22"/>
      <c r="B192" s="23"/>
      <c r="C192" s="23"/>
      <c r="D192" s="24"/>
      <c r="E192" s="23"/>
      <c r="F192" s="15" t="str">
        <f aca="false">IF(B192="","",IFERROR(INDEX(Configurações!$B$7:$B$30,MATCH(B192,Configurações!$A$7:$A$30,0)),"?"))</f>
        <v/>
      </c>
      <c r="G192" s="25" t="str">
        <f aca="false">IF(A192="","",A192-WEEKDAY(A192,2)+1)</f>
        <v/>
      </c>
      <c r="H192" s="26" t="str">
        <f aca="false">IF(A192="","",DATE(YEAR(A192),MONTH(A192),1))</f>
        <v/>
      </c>
    </row>
    <row r="193" customFormat="false" ht="15" hidden="false" customHeight="false" outlineLevel="0" collapsed="false">
      <c r="A193" s="22"/>
      <c r="B193" s="23"/>
      <c r="C193" s="23"/>
      <c r="D193" s="24"/>
      <c r="E193" s="23"/>
      <c r="F193" s="15" t="str">
        <f aca="false">IF(B193="","",IFERROR(INDEX(Configurações!$B$7:$B$30,MATCH(B193,Configurações!$A$7:$A$30,0)),"?"))</f>
        <v/>
      </c>
      <c r="G193" s="25" t="str">
        <f aca="false">IF(A193="","",A193-WEEKDAY(A193,2)+1)</f>
        <v/>
      </c>
      <c r="H193" s="26" t="str">
        <f aca="false">IF(A193="","",DATE(YEAR(A193),MONTH(A193),1))</f>
        <v/>
      </c>
    </row>
    <row r="194" customFormat="false" ht="15" hidden="false" customHeight="false" outlineLevel="0" collapsed="false">
      <c r="A194" s="22"/>
      <c r="B194" s="23"/>
      <c r="C194" s="23"/>
      <c r="D194" s="24"/>
      <c r="E194" s="23"/>
      <c r="F194" s="15" t="str">
        <f aca="false">IF(B194="","",IFERROR(INDEX(Configurações!$B$7:$B$30,MATCH(B194,Configurações!$A$7:$A$30,0)),"?"))</f>
        <v/>
      </c>
      <c r="G194" s="25" t="str">
        <f aca="false">IF(A194="","",A194-WEEKDAY(A194,2)+1)</f>
        <v/>
      </c>
      <c r="H194" s="26" t="str">
        <f aca="false">IF(A194="","",DATE(YEAR(A194),MONTH(A194),1))</f>
        <v/>
      </c>
    </row>
    <row r="195" customFormat="false" ht="15" hidden="false" customHeight="false" outlineLevel="0" collapsed="false">
      <c r="A195" s="22"/>
      <c r="B195" s="23"/>
      <c r="C195" s="23"/>
      <c r="D195" s="24"/>
      <c r="E195" s="23"/>
      <c r="F195" s="15" t="str">
        <f aca="false">IF(B195="","",IFERROR(INDEX(Configurações!$B$7:$B$30,MATCH(B195,Configurações!$A$7:$A$30,0)),"?"))</f>
        <v/>
      </c>
      <c r="G195" s="25" t="str">
        <f aca="false">IF(A195="","",A195-WEEKDAY(A195,2)+1)</f>
        <v/>
      </c>
      <c r="H195" s="26" t="str">
        <f aca="false">IF(A195="","",DATE(YEAR(A195),MONTH(A195),1))</f>
        <v/>
      </c>
    </row>
    <row r="196" customFormat="false" ht="15" hidden="false" customHeight="false" outlineLevel="0" collapsed="false">
      <c r="A196" s="22"/>
      <c r="B196" s="23"/>
      <c r="C196" s="23"/>
      <c r="D196" s="24"/>
      <c r="E196" s="23"/>
      <c r="F196" s="15" t="str">
        <f aca="false">IF(B196="","",IFERROR(INDEX(Configurações!$B$7:$B$30,MATCH(B196,Configurações!$A$7:$A$30,0)),"?"))</f>
        <v/>
      </c>
      <c r="G196" s="25" t="str">
        <f aca="false">IF(A196="","",A196-WEEKDAY(A196,2)+1)</f>
        <v/>
      </c>
      <c r="H196" s="26" t="str">
        <f aca="false">IF(A196="","",DATE(YEAR(A196),MONTH(A196),1))</f>
        <v/>
      </c>
    </row>
    <row r="197" customFormat="false" ht="15" hidden="false" customHeight="false" outlineLevel="0" collapsed="false">
      <c r="A197" s="22"/>
      <c r="B197" s="23"/>
      <c r="C197" s="23"/>
      <c r="D197" s="24"/>
      <c r="E197" s="23"/>
      <c r="F197" s="15" t="str">
        <f aca="false">IF(B197="","",IFERROR(INDEX(Configurações!$B$7:$B$30,MATCH(B197,Configurações!$A$7:$A$30,0)),"?"))</f>
        <v/>
      </c>
      <c r="G197" s="25" t="str">
        <f aca="false">IF(A197="","",A197-WEEKDAY(A197,2)+1)</f>
        <v/>
      </c>
      <c r="H197" s="26" t="str">
        <f aca="false">IF(A197="","",DATE(YEAR(A197),MONTH(A197),1))</f>
        <v/>
      </c>
    </row>
    <row r="198" customFormat="false" ht="15" hidden="false" customHeight="false" outlineLevel="0" collapsed="false">
      <c r="A198" s="22"/>
      <c r="B198" s="23"/>
      <c r="C198" s="23"/>
      <c r="D198" s="24"/>
      <c r="E198" s="23"/>
      <c r="F198" s="15" t="str">
        <f aca="false">IF(B198="","",IFERROR(INDEX(Configurações!$B$7:$B$30,MATCH(B198,Configurações!$A$7:$A$30,0)),"?"))</f>
        <v/>
      </c>
      <c r="G198" s="25" t="str">
        <f aca="false">IF(A198="","",A198-WEEKDAY(A198,2)+1)</f>
        <v/>
      </c>
      <c r="H198" s="26" t="str">
        <f aca="false">IF(A198="","",DATE(YEAR(A198),MONTH(A198),1))</f>
        <v/>
      </c>
    </row>
    <row r="199" customFormat="false" ht="15" hidden="false" customHeight="false" outlineLevel="0" collapsed="false">
      <c r="A199" s="22"/>
      <c r="B199" s="23"/>
      <c r="C199" s="23"/>
      <c r="D199" s="24"/>
      <c r="E199" s="23"/>
      <c r="F199" s="15" t="str">
        <f aca="false">IF(B199="","",IFERROR(INDEX(Configurações!$B$7:$B$30,MATCH(B199,Configurações!$A$7:$A$30,0)),"?"))</f>
        <v/>
      </c>
      <c r="G199" s="25" t="str">
        <f aca="false">IF(A199="","",A199-WEEKDAY(A199,2)+1)</f>
        <v/>
      </c>
      <c r="H199" s="26" t="str">
        <f aca="false">IF(A199="","",DATE(YEAR(A199),MONTH(A199),1))</f>
        <v/>
      </c>
    </row>
    <row r="200" customFormat="false" ht="15" hidden="false" customHeight="false" outlineLevel="0" collapsed="false">
      <c r="A200" s="22"/>
      <c r="B200" s="23"/>
      <c r="C200" s="23"/>
      <c r="D200" s="24"/>
      <c r="E200" s="23"/>
      <c r="F200" s="15" t="str">
        <f aca="false">IF(B200="","",IFERROR(INDEX(Configurações!$B$7:$B$30,MATCH(B200,Configurações!$A$7:$A$30,0)),"?"))</f>
        <v/>
      </c>
      <c r="G200" s="25" t="str">
        <f aca="false">IF(A200="","",A200-WEEKDAY(A200,2)+1)</f>
        <v/>
      </c>
      <c r="H200" s="26" t="str">
        <f aca="false">IF(A200="","",DATE(YEAR(A200),MONTH(A200),1))</f>
        <v/>
      </c>
    </row>
    <row r="201" customFormat="false" ht="15" hidden="false" customHeight="false" outlineLevel="0" collapsed="false">
      <c r="A201" s="22"/>
      <c r="B201" s="23"/>
      <c r="C201" s="23"/>
      <c r="D201" s="24"/>
      <c r="E201" s="23"/>
      <c r="F201" s="15" t="str">
        <f aca="false">IF(B201="","",IFERROR(INDEX(Configurações!$B$7:$B$30,MATCH(B201,Configurações!$A$7:$A$30,0)),"?"))</f>
        <v/>
      </c>
      <c r="G201" s="25" t="str">
        <f aca="false">IF(A201="","",A201-WEEKDAY(A201,2)+1)</f>
        <v/>
      </c>
      <c r="H201" s="26" t="str">
        <f aca="false">IF(A201="","",DATE(YEAR(A201),MONTH(A201),1))</f>
        <v/>
      </c>
    </row>
    <row r="202" customFormat="false" ht="15" hidden="false" customHeight="false" outlineLevel="0" collapsed="false">
      <c r="A202" s="22"/>
      <c r="B202" s="23"/>
      <c r="C202" s="23"/>
      <c r="D202" s="24"/>
      <c r="E202" s="23"/>
      <c r="F202" s="15" t="str">
        <f aca="false">IF(B202="","",IFERROR(INDEX(Configurações!$B$7:$B$30,MATCH(B202,Configurações!$A$7:$A$30,0)),"?"))</f>
        <v/>
      </c>
      <c r="G202" s="25" t="str">
        <f aca="false">IF(A202="","",A202-WEEKDAY(A202,2)+1)</f>
        <v/>
      </c>
      <c r="H202" s="26" t="str">
        <f aca="false">IF(A202="","",DATE(YEAR(A202),MONTH(A202),1))</f>
        <v/>
      </c>
    </row>
    <row r="203" customFormat="false" ht="15" hidden="false" customHeight="false" outlineLevel="0" collapsed="false">
      <c r="A203" s="22"/>
      <c r="B203" s="23"/>
      <c r="C203" s="23"/>
      <c r="D203" s="24"/>
      <c r="E203" s="23"/>
      <c r="F203" s="15" t="str">
        <f aca="false">IF(B203="","",IFERROR(INDEX(Configurações!$B$7:$B$30,MATCH(B203,Configurações!$A$7:$A$30,0)),"?"))</f>
        <v/>
      </c>
      <c r="G203" s="25" t="str">
        <f aca="false">IF(A203="","",A203-WEEKDAY(A203,2)+1)</f>
        <v/>
      </c>
      <c r="H203" s="26" t="str">
        <f aca="false">IF(A203="","",DATE(YEAR(A203),MONTH(A203),1))</f>
        <v/>
      </c>
    </row>
    <row r="204" customFormat="false" ht="15" hidden="false" customHeight="false" outlineLevel="0" collapsed="false">
      <c r="A204" s="22"/>
      <c r="B204" s="23"/>
      <c r="C204" s="23"/>
      <c r="D204" s="24"/>
      <c r="E204" s="23"/>
      <c r="F204" s="15" t="str">
        <f aca="false">IF(B204="","",IFERROR(INDEX(Configurações!$B$7:$B$30,MATCH(B204,Configurações!$A$7:$A$30,0)),"?"))</f>
        <v/>
      </c>
      <c r="G204" s="25" t="str">
        <f aca="false">IF(A204="","",A204-WEEKDAY(A204,2)+1)</f>
        <v/>
      </c>
      <c r="H204" s="26" t="str">
        <f aca="false">IF(A204="","",DATE(YEAR(A204),MONTH(A204),1))</f>
        <v/>
      </c>
    </row>
    <row r="205" customFormat="false" ht="15" hidden="false" customHeight="false" outlineLevel="0" collapsed="false">
      <c r="A205" s="22"/>
      <c r="B205" s="23"/>
      <c r="C205" s="23"/>
      <c r="D205" s="24"/>
      <c r="E205" s="23"/>
      <c r="F205" s="15" t="str">
        <f aca="false">IF(B205="","",IFERROR(INDEX(Configurações!$B$7:$B$30,MATCH(B205,Configurações!$A$7:$A$30,0)),"?"))</f>
        <v/>
      </c>
      <c r="G205" s="25" t="str">
        <f aca="false">IF(A205="","",A205-WEEKDAY(A205,2)+1)</f>
        <v/>
      </c>
      <c r="H205" s="26" t="str">
        <f aca="false">IF(A205="","",DATE(YEAR(A205),MONTH(A205),1))</f>
        <v/>
      </c>
    </row>
    <row r="206" customFormat="false" ht="15" hidden="false" customHeight="false" outlineLevel="0" collapsed="false">
      <c r="A206" s="22"/>
      <c r="B206" s="23"/>
      <c r="C206" s="23"/>
      <c r="D206" s="24"/>
      <c r="E206" s="23"/>
      <c r="F206" s="15" t="str">
        <f aca="false">IF(B206="","",IFERROR(INDEX(Configurações!$B$7:$B$30,MATCH(B206,Configurações!$A$7:$A$30,0)),"?"))</f>
        <v/>
      </c>
      <c r="G206" s="25" t="str">
        <f aca="false">IF(A206="","",A206-WEEKDAY(A206,2)+1)</f>
        <v/>
      </c>
      <c r="H206" s="26" t="str">
        <f aca="false">IF(A206="","",DATE(YEAR(A206),MONTH(A206),1))</f>
        <v/>
      </c>
    </row>
    <row r="207" customFormat="false" ht="15" hidden="false" customHeight="false" outlineLevel="0" collapsed="false">
      <c r="A207" s="22"/>
      <c r="B207" s="23"/>
      <c r="C207" s="23"/>
      <c r="D207" s="24"/>
      <c r="E207" s="23"/>
      <c r="F207" s="15" t="str">
        <f aca="false">IF(B207="","",IFERROR(INDEX(Configurações!$B$7:$B$30,MATCH(B207,Configurações!$A$7:$A$30,0)),"?"))</f>
        <v/>
      </c>
      <c r="G207" s="25" t="str">
        <f aca="false">IF(A207="","",A207-WEEKDAY(A207,2)+1)</f>
        <v/>
      </c>
      <c r="H207" s="26" t="str">
        <f aca="false">IF(A207="","",DATE(YEAR(A207),MONTH(A207),1))</f>
        <v/>
      </c>
    </row>
    <row r="208" customFormat="false" ht="15" hidden="false" customHeight="false" outlineLevel="0" collapsed="false">
      <c r="A208" s="22"/>
      <c r="B208" s="23"/>
      <c r="C208" s="23"/>
      <c r="D208" s="24"/>
      <c r="E208" s="23"/>
      <c r="F208" s="15" t="str">
        <f aca="false">IF(B208="","",IFERROR(INDEX(Configurações!$B$7:$B$30,MATCH(B208,Configurações!$A$7:$A$30,0)),"?"))</f>
        <v/>
      </c>
      <c r="G208" s="25" t="str">
        <f aca="false">IF(A208="","",A208-WEEKDAY(A208,2)+1)</f>
        <v/>
      </c>
      <c r="H208" s="26" t="str">
        <f aca="false">IF(A208="","",DATE(YEAR(A208),MONTH(A208),1))</f>
        <v/>
      </c>
    </row>
    <row r="209" customFormat="false" ht="15" hidden="false" customHeight="false" outlineLevel="0" collapsed="false">
      <c r="A209" s="22"/>
      <c r="B209" s="23"/>
      <c r="C209" s="23"/>
      <c r="D209" s="24"/>
      <c r="E209" s="23"/>
      <c r="F209" s="15" t="str">
        <f aca="false">IF(B209="","",IFERROR(INDEX(Configurações!$B$7:$B$30,MATCH(B209,Configurações!$A$7:$A$30,0)),"?"))</f>
        <v/>
      </c>
      <c r="G209" s="25" t="str">
        <f aca="false">IF(A209="","",A209-WEEKDAY(A209,2)+1)</f>
        <v/>
      </c>
      <c r="H209" s="26" t="str">
        <f aca="false">IF(A209="","",DATE(YEAR(A209),MONTH(A209),1))</f>
        <v/>
      </c>
    </row>
    <row r="210" customFormat="false" ht="15" hidden="false" customHeight="false" outlineLevel="0" collapsed="false">
      <c r="A210" s="22"/>
      <c r="B210" s="23"/>
      <c r="C210" s="23"/>
      <c r="D210" s="24"/>
      <c r="E210" s="23"/>
      <c r="F210" s="15" t="str">
        <f aca="false">IF(B210="","",IFERROR(INDEX(Configurações!$B$7:$B$30,MATCH(B210,Configurações!$A$7:$A$30,0)),"?"))</f>
        <v/>
      </c>
      <c r="G210" s="25" t="str">
        <f aca="false">IF(A210="","",A210-WEEKDAY(A210,2)+1)</f>
        <v/>
      </c>
      <c r="H210" s="26" t="str">
        <f aca="false">IF(A210="","",DATE(YEAR(A210),MONTH(A210),1))</f>
        <v/>
      </c>
    </row>
    <row r="211" customFormat="false" ht="15" hidden="false" customHeight="false" outlineLevel="0" collapsed="false">
      <c r="A211" s="22"/>
      <c r="B211" s="23"/>
      <c r="C211" s="23"/>
      <c r="D211" s="24"/>
      <c r="E211" s="23"/>
      <c r="F211" s="15" t="str">
        <f aca="false">IF(B211="","",IFERROR(INDEX(Configurações!$B$7:$B$30,MATCH(B211,Configurações!$A$7:$A$30,0)),"?"))</f>
        <v/>
      </c>
      <c r="G211" s="25" t="str">
        <f aca="false">IF(A211="","",A211-WEEKDAY(A211,2)+1)</f>
        <v/>
      </c>
      <c r="H211" s="26" t="str">
        <f aca="false">IF(A211="","",DATE(YEAR(A211),MONTH(A211),1))</f>
        <v/>
      </c>
    </row>
    <row r="212" customFormat="false" ht="15" hidden="false" customHeight="false" outlineLevel="0" collapsed="false">
      <c r="A212" s="22"/>
      <c r="B212" s="23"/>
      <c r="C212" s="23"/>
      <c r="D212" s="24"/>
      <c r="E212" s="23"/>
      <c r="F212" s="15" t="str">
        <f aca="false">IF(B212="","",IFERROR(INDEX(Configurações!$B$7:$B$30,MATCH(B212,Configurações!$A$7:$A$30,0)),"?"))</f>
        <v/>
      </c>
      <c r="G212" s="25" t="str">
        <f aca="false">IF(A212="","",A212-WEEKDAY(A212,2)+1)</f>
        <v/>
      </c>
      <c r="H212" s="26" t="str">
        <f aca="false">IF(A212="","",DATE(YEAR(A212),MONTH(A212),1))</f>
        <v/>
      </c>
    </row>
    <row r="213" customFormat="false" ht="15" hidden="false" customHeight="false" outlineLevel="0" collapsed="false">
      <c r="A213" s="22"/>
      <c r="B213" s="23"/>
      <c r="C213" s="23"/>
      <c r="D213" s="24"/>
      <c r="E213" s="23"/>
      <c r="F213" s="15" t="str">
        <f aca="false">IF(B213="","",IFERROR(INDEX(Configurações!$B$7:$B$30,MATCH(B213,Configurações!$A$7:$A$30,0)),"?"))</f>
        <v/>
      </c>
      <c r="G213" s="25" t="str">
        <f aca="false">IF(A213="","",A213-WEEKDAY(A213,2)+1)</f>
        <v/>
      </c>
      <c r="H213" s="26" t="str">
        <f aca="false">IF(A213="","",DATE(YEAR(A213),MONTH(A213),1))</f>
        <v/>
      </c>
    </row>
    <row r="214" customFormat="false" ht="15" hidden="false" customHeight="false" outlineLevel="0" collapsed="false">
      <c r="A214" s="22"/>
      <c r="B214" s="23"/>
      <c r="C214" s="23"/>
      <c r="D214" s="24"/>
      <c r="E214" s="23"/>
      <c r="F214" s="15" t="str">
        <f aca="false">IF(B214="","",IFERROR(INDEX(Configurações!$B$7:$B$30,MATCH(B214,Configurações!$A$7:$A$30,0)),"?"))</f>
        <v/>
      </c>
      <c r="G214" s="25" t="str">
        <f aca="false">IF(A214="","",A214-WEEKDAY(A214,2)+1)</f>
        <v/>
      </c>
      <c r="H214" s="26" t="str">
        <f aca="false">IF(A214="","",DATE(YEAR(A214),MONTH(A214),1))</f>
        <v/>
      </c>
    </row>
    <row r="215" customFormat="false" ht="15" hidden="false" customHeight="false" outlineLevel="0" collapsed="false">
      <c r="A215" s="22"/>
      <c r="B215" s="23"/>
      <c r="C215" s="23"/>
      <c r="D215" s="24"/>
      <c r="E215" s="23"/>
      <c r="F215" s="15" t="str">
        <f aca="false">IF(B215="","",IFERROR(INDEX(Configurações!$B$7:$B$30,MATCH(B215,Configurações!$A$7:$A$30,0)),"?"))</f>
        <v/>
      </c>
      <c r="G215" s="25" t="str">
        <f aca="false">IF(A215="","",A215-WEEKDAY(A215,2)+1)</f>
        <v/>
      </c>
      <c r="H215" s="26" t="str">
        <f aca="false">IF(A215="","",DATE(YEAR(A215),MONTH(A215),1))</f>
        <v/>
      </c>
    </row>
    <row r="216" customFormat="false" ht="15" hidden="false" customHeight="false" outlineLevel="0" collapsed="false">
      <c r="A216" s="22"/>
      <c r="B216" s="23"/>
      <c r="C216" s="23"/>
      <c r="D216" s="24"/>
      <c r="E216" s="23"/>
      <c r="F216" s="15" t="str">
        <f aca="false">IF(B216="","",IFERROR(INDEX(Configurações!$B$7:$B$30,MATCH(B216,Configurações!$A$7:$A$30,0)),"?"))</f>
        <v/>
      </c>
      <c r="G216" s="25" t="str">
        <f aca="false">IF(A216="","",A216-WEEKDAY(A216,2)+1)</f>
        <v/>
      </c>
      <c r="H216" s="26" t="str">
        <f aca="false">IF(A216="","",DATE(YEAR(A216),MONTH(A216),1))</f>
        <v/>
      </c>
    </row>
    <row r="217" customFormat="false" ht="15" hidden="false" customHeight="false" outlineLevel="0" collapsed="false">
      <c r="A217" s="22"/>
      <c r="B217" s="23"/>
      <c r="C217" s="23"/>
      <c r="D217" s="24"/>
      <c r="E217" s="23"/>
      <c r="F217" s="15" t="str">
        <f aca="false">IF(B217="","",IFERROR(INDEX(Configurações!$B$7:$B$30,MATCH(B217,Configurações!$A$7:$A$30,0)),"?"))</f>
        <v/>
      </c>
      <c r="G217" s="25" t="str">
        <f aca="false">IF(A217="","",A217-WEEKDAY(A217,2)+1)</f>
        <v/>
      </c>
      <c r="H217" s="26" t="str">
        <f aca="false">IF(A217="","",DATE(YEAR(A217),MONTH(A217),1))</f>
        <v/>
      </c>
    </row>
    <row r="218" customFormat="false" ht="15" hidden="false" customHeight="false" outlineLevel="0" collapsed="false">
      <c r="A218" s="22"/>
      <c r="B218" s="23"/>
      <c r="C218" s="23"/>
      <c r="D218" s="24"/>
      <c r="E218" s="23"/>
      <c r="F218" s="15" t="str">
        <f aca="false">IF(B218="","",IFERROR(INDEX(Configurações!$B$7:$B$30,MATCH(B218,Configurações!$A$7:$A$30,0)),"?"))</f>
        <v/>
      </c>
      <c r="G218" s="25" t="str">
        <f aca="false">IF(A218="","",A218-WEEKDAY(A218,2)+1)</f>
        <v/>
      </c>
      <c r="H218" s="26" t="str">
        <f aca="false">IF(A218="","",DATE(YEAR(A218),MONTH(A218),1))</f>
        <v/>
      </c>
    </row>
    <row r="219" customFormat="false" ht="15" hidden="false" customHeight="false" outlineLevel="0" collapsed="false">
      <c r="A219" s="22"/>
      <c r="B219" s="23"/>
      <c r="C219" s="23"/>
      <c r="D219" s="24"/>
      <c r="E219" s="23"/>
      <c r="F219" s="15" t="str">
        <f aca="false">IF(B219="","",IFERROR(INDEX(Configurações!$B$7:$B$30,MATCH(B219,Configurações!$A$7:$A$30,0)),"?"))</f>
        <v/>
      </c>
      <c r="G219" s="25" t="str">
        <f aca="false">IF(A219="","",A219-WEEKDAY(A219,2)+1)</f>
        <v/>
      </c>
      <c r="H219" s="26" t="str">
        <f aca="false">IF(A219="","",DATE(YEAR(A219),MONTH(A219),1))</f>
        <v/>
      </c>
    </row>
    <row r="220" customFormat="false" ht="15" hidden="false" customHeight="false" outlineLevel="0" collapsed="false">
      <c r="A220" s="22"/>
      <c r="B220" s="23"/>
      <c r="C220" s="23"/>
      <c r="D220" s="24"/>
      <c r="E220" s="23"/>
      <c r="F220" s="15" t="str">
        <f aca="false">IF(B220="","",IFERROR(INDEX(Configurações!$B$7:$B$30,MATCH(B220,Configurações!$A$7:$A$30,0)),"?"))</f>
        <v/>
      </c>
      <c r="G220" s="25" t="str">
        <f aca="false">IF(A220="","",A220-WEEKDAY(A220,2)+1)</f>
        <v/>
      </c>
      <c r="H220" s="26" t="str">
        <f aca="false">IF(A220="","",DATE(YEAR(A220),MONTH(A220),1))</f>
        <v/>
      </c>
    </row>
    <row r="221" customFormat="false" ht="15" hidden="false" customHeight="false" outlineLevel="0" collapsed="false">
      <c r="A221" s="22"/>
      <c r="B221" s="23"/>
      <c r="C221" s="23"/>
      <c r="D221" s="24"/>
      <c r="E221" s="23"/>
      <c r="F221" s="15" t="str">
        <f aca="false">IF(B221="","",IFERROR(INDEX(Configurações!$B$7:$B$30,MATCH(B221,Configurações!$A$7:$A$30,0)),"?"))</f>
        <v/>
      </c>
      <c r="G221" s="25" t="str">
        <f aca="false">IF(A221="","",A221-WEEKDAY(A221,2)+1)</f>
        <v/>
      </c>
      <c r="H221" s="26" t="str">
        <f aca="false">IF(A221="","",DATE(YEAR(A221),MONTH(A221),1))</f>
        <v/>
      </c>
    </row>
    <row r="222" customFormat="false" ht="15" hidden="false" customHeight="false" outlineLevel="0" collapsed="false">
      <c r="A222" s="22"/>
      <c r="B222" s="23"/>
      <c r="C222" s="23"/>
      <c r="D222" s="24"/>
      <c r="E222" s="23"/>
      <c r="F222" s="15" t="str">
        <f aca="false">IF(B222="","",IFERROR(INDEX(Configurações!$B$7:$B$30,MATCH(B222,Configurações!$A$7:$A$30,0)),"?"))</f>
        <v/>
      </c>
      <c r="G222" s="25" t="str">
        <f aca="false">IF(A222="","",A222-WEEKDAY(A222,2)+1)</f>
        <v/>
      </c>
      <c r="H222" s="26" t="str">
        <f aca="false">IF(A222="","",DATE(YEAR(A222),MONTH(A222),1))</f>
        <v/>
      </c>
    </row>
    <row r="223" customFormat="false" ht="15" hidden="false" customHeight="false" outlineLevel="0" collapsed="false">
      <c r="A223" s="22"/>
      <c r="B223" s="23"/>
      <c r="C223" s="23"/>
      <c r="D223" s="24"/>
      <c r="E223" s="23"/>
      <c r="F223" s="15" t="str">
        <f aca="false">IF(B223="","",IFERROR(INDEX(Configurações!$B$7:$B$30,MATCH(B223,Configurações!$A$7:$A$30,0)),"?"))</f>
        <v/>
      </c>
      <c r="G223" s="25" t="str">
        <f aca="false">IF(A223="","",A223-WEEKDAY(A223,2)+1)</f>
        <v/>
      </c>
      <c r="H223" s="26" t="str">
        <f aca="false">IF(A223="","",DATE(YEAR(A223),MONTH(A223),1))</f>
        <v/>
      </c>
    </row>
    <row r="224" customFormat="false" ht="15" hidden="false" customHeight="false" outlineLevel="0" collapsed="false">
      <c r="A224" s="22"/>
      <c r="B224" s="23"/>
      <c r="C224" s="23"/>
      <c r="D224" s="24"/>
      <c r="E224" s="23"/>
      <c r="F224" s="15" t="str">
        <f aca="false">IF(B224="","",IFERROR(INDEX(Configurações!$B$7:$B$30,MATCH(B224,Configurações!$A$7:$A$30,0)),"?"))</f>
        <v/>
      </c>
      <c r="G224" s="25" t="str">
        <f aca="false">IF(A224="","",A224-WEEKDAY(A224,2)+1)</f>
        <v/>
      </c>
      <c r="H224" s="26" t="str">
        <f aca="false">IF(A224="","",DATE(YEAR(A224),MONTH(A224),1))</f>
        <v/>
      </c>
    </row>
    <row r="225" customFormat="false" ht="15" hidden="false" customHeight="false" outlineLevel="0" collapsed="false">
      <c r="A225" s="22"/>
      <c r="B225" s="23"/>
      <c r="C225" s="23"/>
      <c r="D225" s="24"/>
      <c r="E225" s="23"/>
      <c r="F225" s="15" t="str">
        <f aca="false">IF(B225="","",IFERROR(INDEX(Configurações!$B$7:$B$30,MATCH(B225,Configurações!$A$7:$A$30,0)),"?"))</f>
        <v/>
      </c>
      <c r="G225" s="25" t="str">
        <f aca="false">IF(A225="","",A225-WEEKDAY(A225,2)+1)</f>
        <v/>
      </c>
      <c r="H225" s="26" t="str">
        <f aca="false">IF(A225="","",DATE(YEAR(A225),MONTH(A225),1))</f>
        <v/>
      </c>
    </row>
    <row r="226" customFormat="false" ht="15" hidden="false" customHeight="false" outlineLevel="0" collapsed="false">
      <c r="A226" s="22"/>
      <c r="B226" s="23"/>
      <c r="C226" s="23"/>
      <c r="D226" s="24"/>
      <c r="E226" s="23"/>
      <c r="F226" s="15" t="str">
        <f aca="false">IF(B226="","",IFERROR(INDEX(Configurações!$B$7:$B$30,MATCH(B226,Configurações!$A$7:$A$30,0)),"?"))</f>
        <v/>
      </c>
      <c r="G226" s="25" t="str">
        <f aca="false">IF(A226="","",A226-WEEKDAY(A226,2)+1)</f>
        <v/>
      </c>
      <c r="H226" s="26" t="str">
        <f aca="false">IF(A226="","",DATE(YEAR(A226),MONTH(A226),1))</f>
        <v/>
      </c>
    </row>
    <row r="227" customFormat="false" ht="15" hidden="false" customHeight="false" outlineLevel="0" collapsed="false">
      <c r="A227" s="22"/>
      <c r="B227" s="23"/>
      <c r="C227" s="23"/>
      <c r="D227" s="24"/>
      <c r="E227" s="23"/>
      <c r="F227" s="15" t="str">
        <f aca="false">IF(B227="","",IFERROR(INDEX(Configurações!$B$7:$B$30,MATCH(B227,Configurações!$A$7:$A$30,0)),"?"))</f>
        <v/>
      </c>
      <c r="G227" s="25" t="str">
        <f aca="false">IF(A227="","",A227-WEEKDAY(A227,2)+1)</f>
        <v/>
      </c>
      <c r="H227" s="26" t="str">
        <f aca="false">IF(A227="","",DATE(YEAR(A227),MONTH(A227),1))</f>
        <v/>
      </c>
    </row>
    <row r="228" customFormat="false" ht="15" hidden="false" customHeight="false" outlineLevel="0" collapsed="false">
      <c r="A228" s="22"/>
      <c r="B228" s="23"/>
      <c r="C228" s="23"/>
      <c r="D228" s="24"/>
      <c r="E228" s="23"/>
      <c r="F228" s="15" t="str">
        <f aca="false">IF(B228="","",IFERROR(INDEX(Configurações!$B$7:$B$30,MATCH(B228,Configurações!$A$7:$A$30,0)),"?"))</f>
        <v/>
      </c>
      <c r="G228" s="25" t="str">
        <f aca="false">IF(A228="","",A228-WEEKDAY(A228,2)+1)</f>
        <v/>
      </c>
      <c r="H228" s="26" t="str">
        <f aca="false">IF(A228="","",DATE(YEAR(A228),MONTH(A228),1))</f>
        <v/>
      </c>
    </row>
    <row r="229" customFormat="false" ht="15" hidden="false" customHeight="false" outlineLevel="0" collapsed="false">
      <c r="A229" s="22"/>
      <c r="B229" s="23"/>
      <c r="C229" s="23"/>
      <c r="D229" s="24"/>
      <c r="E229" s="23"/>
      <c r="F229" s="15" t="str">
        <f aca="false">IF(B229="","",IFERROR(INDEX(Configurações!$B$7:$B$30,MATCH(B229,Configurações!$A$7:$A$30,0)),"?"))</f>
        <v/>
      </c>
      <c r="G229" s="25" t="str">
        <f aca="false">IF(A229="","",A229-WEEKDAY(A229,2)+1)</f>
        <v/>
      </c>
      <c r="H229" s="26" t="str">
        <f aca="false">IF(A229="","",DATE(YEAR(A229),MONTH(A229),1))</f>
        <v/>
      </c>
    </row>
    <row r="230" customFormat="false" ht="15" hidden="false" customHeight="false" outlineLevel="0" collapsed="false">
      <c r="A230" s="22"/>
      <c r="B230" s="23"/>
      <c r="C230" s="23"/>
      <c r="D230" s="24"/>
      <c r="E230" s="23"/>
      <c r="F230" s="15" t="str">
        <f aca="false">IF(B230="","",IFERROR(INDEX(Configurações!$B$7:$B$30,MATCH(B230,Configurações!$A$7:$A$30,0)),"?"))</f>
        <v/>
      </c>
      <c r="G230" s="25" t="str">
        <f aca="false">IF(A230="","",A230-WEEKDAY(A230,2)+1)</f>
        <v/>
      </c>
      <c r="H230" s="26" t="str">
        <f aca="false">IF(A230="","",DATE(YEAR(A230),MONTH(A230),1))</f>
        <v/>
      </c>
    </row>
    <row r="231" customFormat="false" ht="15" hidden="false" customHeight="false" outlineLevel="0" collapsed="false">
      <c r="A231" s="22"/>
      <c r="B231" s="23"/>
      <c r="C231" s="23"/>
      <c r="D231" s="24"/>
      <c r="E231" s="23"/>
      <c r="F231" s="15" t="str">
        <f aca="false">IF(B231="","",IFERROR(INDEX(Configurações!$B$7:$B$30,MATCH(B231,Configurações!$A$7:$A$30,0)),"?"))</f>
        <v/>
      </c>
      <c r="G231" s="25" t="str">
        <f aca="false">IF(A231="","",A231-WEEKDAY(A231,2)+1)</f>
        <v/>
      </c>
      <c r="H231" s="26" t="str">
        <f aca="false">IF(A231="","",DATE(YEAR(A231),MONTH(A231),1))</f>
        <v/>
      </c>
    </row>
    <row r="232" customFormat="false" ht="15" hidden="false" customHeight="false" outlineLevel="0" collapsed="false">
      <c r="A232" s="22"/>
      <c r="B232" s="23"/>
      <c r="C232" s="23"/>
      <c r="D232" s="24"/>
      <c r="E232" s="23"/>
      <c r="F232" s="15" t="str">
        <f aca="false">IF(B232="","",IFERROR(INDEX(Configurações!$B$7:$B$30,MATCH(B232,Configurações!$A$7:$A$30,0)),"?"))</f>
        <v/>
      </c>
      <c r="G232" s="25" t="str">
        <f aca="false">IF(A232="","",A232-WEEKDAY(A232,2)+1)</f>
        <v/>
      </c>
      <c r="H232" s="26" t="str">
        <f aca="false">IF(A232="","",DATE(YEAR(A232),MONTH(A232),1))</f>
        <v/>
      </c>
    </row>
    <row r="233" customFormat="false" ht="15" hidden="false" customHeight="false" outlineLevel="0" collapsed="false">
      <c r="A233" s="22"/>
      <c r="B233" s="23"/>
      <c r="C233" s="23"/>
      <c r="D233" s="24"/>
      <c r="E233" s="23"/>
      <c r="F233" s="15" t="str">
        <f aca="false">IF(B233="","",IFERROR(INDEX(Configurações!$B$7:$B$30,MATCH(B233,Configurações!$A$7:$A$30,0)),"?"))</f>
        <v/>
      </c>
      <c r="G233" s="25" t="str">
        <f aca="false">IF(A233="","",A233-WEEKDAY(A233,2)+1)</f>
        <v/>
      </c>
      <c r="H233" s="26" t="str">
        <f aca="false">IF(A233="","",DATE(YEAR(A233),MONTH(A233),1))</f>
        <v/>
      </c>
    </row>
    <row r="234" customFormat="false" ht="15" hidden="false" customHeight="false" outlineLevel="0" collapsed="false">
      <c r="A234" s="22"/>
      <c r="B234" s="23"/>
      <c r="C234" s="23"/>
      <c r="D234" s="24"/>
      <c r="E234" s="23"/>
      <c r="F234" s="15" t="str">
        <f aca="false">IF(B234="","",IFERROR(INDEX(Configurações!$B$7:$B$30,MATCH(B234,Configurações!$A$7:$A$30,0)),"?"))</f>
        <v/>
      </c>
      <c r="G234" s="25" t="str">
        <f aca="false">IF(A234="","",A234-WEEKDAY(A234,2)+1)</f>
        <v/>
      </c>
      <c r="H234" s="26" t="str">
        <f aca="false">IF(A234="","",DATE(YEAR(A234),MONTH(A234),1))</f>
        <v/>
      </c>
    </row>
    <row r="235" customFormat="false" ht="15" hidden="false" customHeight="false" outlineLevel="0" collapsed="false">
      <c r="A235" s="22"/>
      <c r="B235" s="23"/>
      <c r="C235" s="23"/>
      <c r="D235" s="24"/>
      <c r="E235" s="23"/>
      <c r="F235" s="15" t="str">
        <f aca="false">IF(B235="","",IFERROR(INDEX(Configurações!$B$7:$B$30,MATCH(B235,Configurações!$A$7:$A$30,0)),"?"))</f>
        <v/>
      </c>
      <c r="G235" s="25" t="str">
        <f aca="false">IF(A235="","",A235-WEEKDAY(A235,2)+1)</f>
        <v/>
      </c>
      <c r="H235" s="26" t="str">
        <f aca="false">IF(A235="","",DATE(YEAR(A235),MONTH(A235),1))</f>
        <v/>
      </c>
    </row>
    <row r="236" customFormat="false" ht="15" hidden="false" customHeight="false" outlineLevel="0" collapsed="false">
      <c r="A236" s="22"/>
      <c r="B236" s="23"/>
      <c r="C236" s="23"/>
      <c r="D236" s="24"/>
      <c r="E236" s="23"/>
      <c r="F236" s="15" t="str">
        <f aca="false">IF(B236="","",IFERROR(INDEX(Configurações!$B$7:$B$30,MATCH(B236,Configurações!$A$7:$A$30,0)),"?"))</f>
        <v/>
      </c>
      <c r="G236" s="25" t="str">
        <f aca="false">IF(A236="","",A236-WEEKDAY(A236,2)+1)</f>
        <v/>
      </c>
      <c r="H236" s="26" t="str">
        <f aca="false">IF(A236="","",DATE(YEAR(A236),MONTH(A236),1))</f>
        <v/>
      </c>
    </row>
    <row r="237" customFormat="false" ht="15" hidden="false" customHeight="false" outlineLevel="0" collapsed="false">
      <c r="A237" s="22"/>
      <c r="B237" s="23"/>
      <c r="C237" s="23"/>
      <c r="D237" s="24"/>
      <c r="E237" s="23"/>
      <c r="F237" s="15" t="str">
        <f aca="false">IF(B237="","",IFERROR(INDEX(Configurações!$B$7:$B$30,MATCH(B237,Configurações!$A$7:$A$30,0)),"?"))</f>
        <v/>
      </c>
      <c r="G237" s="25" t="str">
        <f aca="false">IF(A237="","",A237-WEEKDAY(A237,2)+1)</f>
        <v/>
      </c>
      <c r="H237" s="26" t="str">
        <f aca="false">IF(A237="","",DATE(YEAR(A237),MONTH(A237),1))</f>
        <v/>
      </c>
    </row>
    <row r="238" customFormat="false" ht="15" hidden="false" customHeight="false" outlineLevel="0" collapsed="false">
      <c r="A238" s="22"/>
      <c r="B238" s="23"/>
      <c r="C238" s="23"/>
      <c r="D238" s="24"/>
      <c r="E238" s="23"/>
      <c r="F238" s="15" t="str">
        <f aca="false">IF(B238="","",IFERROR(INDEX(Configurações!$B$7:$B$30,MATCH(B238,Configurações!$A$7:$A$30,0)),"?"))</f>
        <v/>
      </c>
      <c r="G238" s="25" t="str">
        <f aca="false">IF(A238="","",A238-WEEKDAY(A238,2)+1)</f>
        <v/>
      </c>
      <c r="H238" s="26" t="str">
        <f aca="false">IF(A238="","",DATE(YEAR(A238),MONTH(A238),1))</f>
        <v/>
      </c>
    </row>
    <row r="239" customFormat="false" ht="15" hidden="false" customHeight="false" outlineLevel="0" collapsed="false">
      <c r="A239" s="22"/>
      <c r="B239" s="23"/>
      <c r="C239" s="23"/>
      <c r="D239" s="24"/>
      <c r="E239" s="23"/>
      <c r="F239" s="15" t="str">
        <f aca="false">IF(B239="","",IFERROR(INDEX(Configurações!$B$7:$B$30,MATCH(B239,Configurações!$A$7:$A$30,0)),"?"))</f>
        <v/>
      </c>
      <c r="G239" s="25" t="str">
        <f aca="false">IF(A239="","",A239-WEEKDAY(A239,2)+1)</f>
        <v/>
      </c>
      <c r="H239" s="26" t="str">
        <f aca="false">IF(A239="","",DATE(YEAR(A239),MONTH(A239),1))</f>
        <v/>
      </c>
    </row>
    <row r="240" customFormat="false" ht="15" hidden="false" customHeight="false" outlineLevel="0" collapsed="false">
      <c r="A240" s="22"/>
      <c r="B240" s="23"/>
      <c r="C240" s="23"/>
      <c r="D240" s="24"/>
      <c r="E240" s="23"/>
      <c r="F240" s="15" t="str">
        <f aca="false">IF(B240="","",IFERROR(INDEX(Configurações!$B$7:$B$30,MATCH(B240,Configurações!$A$7:$A$30,0)),"?"))</f>
        <v/>
      </c>
      <c r="G240" s="25" t="str">
        <f aca="false">IF(A240="","",A240-WEEKDAY(A240,2)+1)</f>
        <v/>
      </c>
      <c r="H240" s="26" t="str">
        <f aca="false">IF(A240="","",DATE(YEAR(A240),MONTH(A240),1))</f>
        <v/>
      </c>
    </row>
    <row r="241" customFormat="false" ht="15" hidden="false" customHeight="false" outlineLevel="0" collapsed="false">
      <c r="A241" s="22"/>
      <c r="B241" s="23"/>
      <c r="C241" s="23"/>
      <c r="D241" s="24"/>
      <c r="E241" s="23"/>
      <c r="F241" s="15" t="str">
        <f aca="false">IF(B241="","",IFERROR(INDEX(Configurações!$B$7:$B$30,MATCH(B241,Configurações!$A$7:$A$30,0)),"?"))</f>
        <v/>
      </c>
      <c r="G241" s="25" t="str">
        <f aca="false">IF(A241="","",A241-WEEKDAY(A241,2)+1)</f>
        <v/>
      </c>
      <c r="H241" s="26" t="str">
        <f aca="false">IF(A241="","",DATE(YEAR(A241),MONTH(A241),1))</f>
        <v/>
      </c>
    </row>
    <row r="242" customFormat="false" ht="15" hidden="false" customHeight="false" outlineLevel="0" collapsed="false">
      <c r="A242" s="22"/>
      <c r="B242" s="23"/>
      <c r="C242" s="23"/>
      <c r="D242" s="24"/>
      <c r="E242" s="23"/>
      <c r="F242" s="15" t="str">
        <f aca="false">IF(B242="","",IFERROR(INDEX(Configurações!$B$7:$B$30,MATCH(B242,Configurações!$A$7:$A$30,0)),"?"))</f>
        <v/>
      </c>
      <c r="G242" s="25" t="str">
        <f aca="false">IF(A242="","",A242-WEEKDAY(A242,2)+1)</f>
        <v/>
      </c>
      <c r="H242" s="26" t="str">
        <f aca="false">IF(A242="","",DATE(YEAR(A242),MONTH(A242),1))</f>
        <v/>
      </c>
    </row>
    <row r="243" customFormat="false" ht="15" hidden="false" customHeight="false" outlineLevel="0" collapsed="false">
      <c r="A243" s="22"/>
      <c r="B243" s="23"/>
      <c r="C243" s="23"/>
      <c r="D243" s="24"/>
      <c r="E243" s="23"/>
      <c r="F243" s="15" t="str">
        <f aca="false">IF(B243="","",IFERROR(INDEX(Configurações!$B$7:$B$30,MATCH(B243,Configurações!$A$7:$A$30,0)),"?"))</f>
        <v/>
      </c>
      <c r="G243" s="25" t="str">
        <f aca="false">IF(A243="","",A243-WEEKDAY(A243,2)+1)</f>
        <v/>
      </c>
      <c r="H243" s="26" t="str">
        <f aca="false">IF(A243="","",DATE(YEAR(A243),MONTH(A243),1))</f>
        <v/>
      </c>
    </row>
    <row r="244" customFormat="false" ht="15" hidden="false" customHeight="false" outlineLevel="0" collapsed="false">
      <c r="A244" s="22"/>
      <c r="B244" s="23"/>
      <c r="C244" s="23"/>
      <c r="D244" s="24"/>
      <c r="E244" s="23"/>
      <c r="F244" s="15" t="str">
        <f aca="false">IF(B244="","",IFERROR(INDEX(Configurações!$B$7:$B$30,MATCH(B244,Configurações!$A$7:$A$30,0)),"?"))</f>
        <v/>
      </c>
      <c r="G244" s="25" t="str">
        <f aca="false">IF(A244="","",A244-WEEKDAY(A244,2)+1)</f>
        <v/>
      </c>
      <c r="H244" s="26" t="str">
        <f aca="false">IF(A244="","",DATE(YEAR(A244),MONTH(A244),1))</f>
        <v/>
      </c>
    </row>
    <row r="245" customFormat="false" ht="15" hidden="false" customHeight="false" outlineLevel="0" collapsed="false">
      <c r="A245" s="22"/>
      <c r="B245" s="23"/>
      <c r="C245" s="23"/>
      <c r="D245" s="24"/>
      <c r="E245" s="23"/>
      <c r="F245" s="15" t="str">
        <f aca="false">IF(B245="","",IFERROR(INDEX(Configurações!$B$7:$B$30,MATCH(B245,Configurações!$A$7:$A$30,0)),"?"))</f>
        <v/>
      </c>
      <c r="G245" s="25" t="str">
        <f aca="false">IF(A245="","",A245-WEEKDAY(A245,2)+1)</f>
        <v/>
      </c>
      <c r="H245" s="26" t="str">
        <f aca="false">IF(A245="","",DATE(YEAR(A245),MONTH(A245),1))</f>
        <v/>
      </c>
    </row>
    <row r="246" customFormat="false" ht="15" hidden="false" customHeight="false" outlineLevel="0" collapsed="false">
      <c r="A246" s="22"/>
      <c r="B246" s="23"/>
      <c r="C246" s="23"/>
      <c r="D246" s="24"/>
      <c r="E246" s="23"/>
      <c r="F246" s="15" t="str">
        <f aca="false">IF(B246="","",IFERROR(INDEX(Configurações!$B$7:$B$30,MATCH(B246,Configurações!$A$7:$A$30,0)),"?"))</f>
        <v/>
      </c>
      <c r="G246" s="25" t="str">
        <f aca="false">IF(A246="","",A246-WEEKDAY(A246,2)+1)</f>
        <v/>
      </c>
      <c r="H246" s="26" t="str">
        <f aca="false">IF(A246="","",DATE(YEAR(A246),MONTH(A246),1))</f>
        <v/>
      </c>
    </row>
    <row r="247" customFormat="false" ht="15" hidden="false" customHeight="false" outlineLevel="0" collapsed="false">
      <c r="A247" s="22"/>
      <c r="B247" s="23"/>
      <c r="C247" s="23"/>
      <c r="D247" s="24"/>
      <c r="E247" s="23"/>
      <c r="F247" s="15" t="str">
        <f aca="false">IF(B247="","",IFERROR(INDEX(Configurações!$B$7:$B$30,MATCH(B247,Configurações!$A$7:$A$30,0)),"?"))</f>
        <v/>
      </c>
      <c r="G247" s="25" t="str">
        <f aca="false">IF(A247="","",A247-WEEKDAY(A247,2)+1)</f>
        <v/>
      </c>
      <c r="H247" s="26" t="str">
        <f aca="false">IF(A247="","",DATE(YEAR(A247),MONTH(A247),1))</f>
        <v/>
      </c>
    </row>
    <row r="248" customFormat="false" ht="15" hidden="false" customHeight="false" outlineLevel="0" collapsed="false">
      <c r="A248" s="22"/>
      <c r="B248" s="23"/>
      <c r="C248" s="23"/>
      <c r="D248" s="24"/>
      <c r="E248" s="23"/>
      <c r="F248" s="15" t="str">
        <f aca="false">IF(B248="","",IFERROR(INDEX(Configurações!$B$7:$B$30,MATCH(B248,Configurações!$A$7:$A$30,0)),"?"))</f>
        <v/>
      </c>
      <c r="G248" s="25" t="str">
        <f aca="false">IF(A248="","",A248-WEEKDAY(A248,2)+1)</f>
        <v/>
      </c>
      <c r="H248" s="26" t="str">
        <f aca="false">IF(A248="","",DATE(YEAR(A248),MONTH(A248),1))</f>
        <v/>
      </c>
    </row>
    <row r="249" customFormat="false" ht="15" hidden="false" customHeight="false" outlineLevel="0" collapsed="false">
      <c r="A249" s="22"/>
      <c r="B249" s="23"/>
      <c r="C249" s="23"/>
      <c r="D249" s="24"/>
      <c r="E249" s="23"/>
      <c r="F249" s="15" t="str">
        <f aca="false">IF(B249="","",IFERROR(INDEX(Configurações!$B$7:$B$30,MATCH(B249,Configurações!$A$7:$A$30,0)),"?"))</f>
        <v/>
      </c>
      <c r="G249" s="25" t="str">
        <f aca="false">IF(A249="","",A249-WEEKDAY(A249,2)+1)</f>
        <v/>
      </c>
      <c r="H249" s="26" t="str">
        <f aca="false">IF(A249="","",DATE(YEAR(A249),MONTH(A249),1))</f>
        <v/>
      </c>
    </row>
    <row r="250" customFormat="false" ht="15" hidden="false" customHeight="false" outlineLevel="0" collapsed="false">
      <c r="A250" s="22"/>
      <c r="B250" s="23"/>
      <c r="C250" s="23"/>
      <c r="D250" s="24"/>
      <c r="E250" s="23"/>
      <c r="F250" s="15" t="str">
        <f aca="false">IF(B250="","",IFERROR(INDEX(Configurações!$B$7:$B$30,MATCH(B250,Configurações!$A$7:$A$30,0)),"?"))</f>
        <v/>
      </c>
      <c r="G250" s="25" t="str">
        <f aca="false">IF(A250="","",A250-WEEKDAY(A250,2)+1)</f>
        <v/>
      </c>
      <c r="H250" s="26" t="str">
        <f aca="false">IF(A250="","",DATE(YEAR(A250),MONTH(A250),1))</f>
        <v/>
      </c>
    </row>
    <row r="251" customFormat="false" ht="15" hidden="false" customHeight="false" outlineLevel="0" collapsed="false">
      <c r="A251" s="22"/>
      <c r="B251" s="23"/>
      <c r="C251" s="23"/>
      <c r="D251" s="24"/>
      <c r="E251" s="23"/>
      <c r="F251" s="15" t="str">
        <f aca="false">IF(B251="","",IFERROR(INDEX(Configurações!$B$7:$B$30,MATCH(B251,Configurações!$A$7:$A$30,0)),"?"))</f>
        <v/>
      </c>
      <c r="G251" s="25" t="str">
        <f aca="false">IF(A251="","",A251-WEEKDAY(A251,2)+1)</f>
        <v/>
      </c>
      <c r="H251" s="26" t="str">
        <f aca="false">IF(A251="","",DATE(YEAR(A251),MONTH(A251),1))</f>
        <v/>
      </c>
    </row>
    <row r="252" customFormat="false" ht="15" hidden="false" customHeight="false" outlineLevel="0" collapsed="false">
      <c r="A252" s="22"/>
      <c r="B252" s="23"/>
      <c r="C252" s="23"/>
      <c r="D252" s="24"/>
      <c r="E252" s="23"/>
      <c r="F252" s="15" t="str">
        <f aca="false">IF(B252="","",IFERROR(INDEX(Configurações!$B$7:$B$30,MATCH(B252,Configurações!$A$7:$A$30,0)),"?"))</f>
        <v/>
      </c>
      <c r="G252" s="25" t="str">
        <f aca="false">IF(A252="","",A252-WEEKDAY(A252,2)+1)</f>
        <v/>
      </c>
      <c r="H252" s="26" t="str">
        <f aca="false">IF(A252="","",DATE(YEAR(A252),MONTH(A252),1))</f>
        <v/>
      </c>
    </row>
    <row r="253" customFormat="false" ht="15" hidden="false" customHeight="false" outlineLevel="0" collapsed="false">
      <c r="A253" s="22"/>
      <c r="B253" s="23"/>
      <c r="C253" s="23"/>
      <c r="D253" s="24"/>
      <c r="E253" s="23"/>
      <c r="F253" s="15" t="str">
        <f aca="false">IF(B253="","",IFERROR(INDEX(Configurações!$B$7:$B$30,MATCH(B253,Configurações!$A$7:$A$30,0)),"?"))</f>
        <v/>
      </c>
      <c r="G253" s="25" t="str">
        <f aca="false">IF(A253="","",A253-WEEKDAY(A253,2)+1)</f>
        <v/>
      </c>
      <c r="H253" s="26" t="str">
        <f aca="false">IF(A253="","",DATE(YEAR(A253),MONTH(A253),1))</f>
        <v/>
      </c>
    </row>
    <row r="254" customFormat="false" ht="15" hidden="false" customHeight="false" outlineLevel="0" collapsed="false">
      <c r="A254" s="22"/>
      <c r="B254" s="23"/>
      <c r="C254" s="23"/>
      <c r="D254" s="24"/>
      <c r="E254" s="23"/>
      <c r="F254" s="15" t="str">
        <f aca="false">IF(B254="","",IFERROR(INDEX(Configurações!$B$7:$B$30,MATCH(B254,Configurações!$A$7:$A$30,0)),"?"))</f>
        <v/>
      </c>
      <c r="G254" s="25" t="str">
        <f aca="false">IF(A254="","",A254-WEEKDAY(A254,2)+1)</f>
        <v/>
      </c>
      <c r="H254" s="26" t="str">
        <f aca="false">IF(A254="","",DATE(YEAR(A254),MONTH(A254),1))</f>
        <v/>
      </c>
    </row>
    <row r="255" customFormat="false" ht="15" hidden="false" customHeight="false" outlineLevel="0" collapsed="false">
      <c r="A255" s="22"/>
      <c r="B255" s="23"/>
      <c r="C255" s="23"/>
      <c r="D255" s="24"/>
      <c r="E255" s="23"/>
      <c r="F255" s="15" t="str">
        <f aca="false">IF(B255="","",IFERROR(INDEX(Configurações!$B$7:$B$30,MATCH(B255,Configurações!$A$7:$A$30,0)),"?"))</f>
        <v/>
      </c>
      <c r="G255" s="25" t="str">
        <f aca="false">IF(A255="","",A255-WEEKDAY(A255,2)+1)</f>
        <v/>
      </c>
      <c r="H255" s="26" t="str">
        <f aca="false">IF(A255="","",DATE(YEAR(A255),MONTH(A255),1))</f>
        <v/>
      </c>
    </row>
    <row r="256" customFormat="false" ht="15" hidden="false" customHeight="false" outlineLevel="0" collapsed="false">
      <c r="A256" s="22"/>
      <c r="B256" s="23"/>
      <c r="C256" s="23"/>
      <c r="D256" s="24"/>
      <c r="E256" s="23"/>
      <c r="F256" s="15" t="str">
        <f aca="false">IF(B256="","",IFERROR(INDEX(Configurações!$B$7:$B$30,MATCH(B256,Configurações!$A$7:$A$30,0)),"?"))</f>
        <v/>
      </c>
      <c r="G256" s="25" t="str">
        <f aca="false">IF(A256="","",A256-WEEKDAY(A256,2)+1)</f>
        <v/>
      </c>
      <c r="H256" s="26" t="str">
        <f aca="false">IF(A256="","",DATE(YEAR(A256),MONTH(A256),1))</f>
        <v/>
      </c>
    </row>
    <row r="257" customFormat="false" ht="15" hidden="false" customHeight="false" outlineLevel="0" collapsed="false">
      <c r="A257" s="22"/>
      <c r="B257" s="23"/>
      <c r="C257" s="23"/>
      <c r="D257" s="24"/>
      <c r="E257" s="23"/>
      <c r="F257" s="15" t="str">
        <f aca="false">IF(B257="","",IFERROR(INDEX(Configurações!$B$7:$B$30,MATCH(B257,Configurações!$A$7:$A$30,0)),"?"))</f>
        <v/>
      </c>
      <c r="G257" s="25" t="str">
        <f aca="false">IF(A257="","",A257-WEEKDAY(A257,2)+1)</f>
        <v/>
      </c>
      <c r="H257" s="26" t="str">
        <f aca="false">IF(A257="","",DATE(YEAR(A257),MONTH(A257),1))</f>
        <v/>
      </c>
    </row>
    <row r="258" customFormat="false" ht="15" hidden="false" customHeight="false" outlineLevel="0" collapsed="false">
      <c r="A258" s="22"/>
      <c r="B258" s="23"/>
      <c r="C258" s="23"/>
      <c r="D258" s="24"/>
      <c r="E258" s="23"/>
      <c r="F258" s="15" t="str">
        <f aca="false">IF(B258="","",IFERROR(INDEX(Configurações!$B$7:$B$30,MATCH(B258,Configurações!$A$7:$A$30,0)),"?"))</f>
        <v/>
      </c>
      <c r="G258" s="25" t="str">
        <f aca="false">IF(A258="","",A258-WEEKDAY(A258,2)+1)</f>
        <v/>
      </c>
      <c r="H258" s="26" t="str">
        <f aca="false">IF(A258="","",DATE(YEAR(A258),MONTH(A258),1))</f>
        <v/>
      </c>
    </row>
    <row r="259" customFormat="false" ht="15" hidden="false" customHeight="false" outlineLevel="0" collapsed="false">
      <c r="A259" s="22"/>
      <c r="B259" s="23"/>
      <c r="C259" s="23"/>
      <c r="D259" s="24"/>
      <c r="E259" s="23"/>
      <c r="F259" s="15" t="str">
        <f aca="false">IF(B259="","",IFERROR(INDEX(Configurações!$B$7:$B$30,MATCH(B259,Configurações!$A$7:$A$30,0)),"?"))</f>
        <v/>
      </c>
      <c r="G259" s="25" t="str">
        <f aca="false">IF(A259="","",A259-WEEKDAY(A259,2)+1)</f>
        <v/>
      </c>
      <c r="H259" s="26" t="str">
        <f aca="false">IF(A259="","",DATE(YEAR(A259),MONTH(A259),1))</f>
        <v/>
      </c>
    </row>
    <row r="260" customFormat="false" ht="15" hidden="false" customHeight="false" outlineLevel="0" collapsed="false">
      <c r="A260" s="22"/>
      <c r="B260" s="23"/>
      <c r="C260" s="23"/>
      <c r="D260" s="24"/>
      <c r="E260" s="23"/>
      <c r="F260" s="15" t="str">
        <f aca="false">IF(B260="","",IFERROR(INDEX(Configurações!$B$7:$B$30,MATCH(B260,Configurações!$A$7:$A$30,0)),"?"))</f>
        <v/>
      </c>
      <c r="G260" s="25" t="str">
        <f aca="false">IF(A260="","",A260-WEEKDAY(A260,2)+1)</f>
        <v/>
      </c>
      <c r="H260" s="26" t="str">
        <f aca="false">IF(A260="","",DATE(YEAR(A260),MONTH(A260),1))</f>
        <v/>
      </c>
    </row>
    <row r="261" customFormat="false" ht="15" hidden="false" customHeight="false" outlineLevel="0" collapsed="false">
      <c r="A261" s="22"/>
      <c r="B261" s="23"/>
      <c r="C261" s="23"/>
      <c r="D261" s="24"/>
      <c r="E261" s="23"/>
      <c r="F261" s="15" t="str">
        <f aca="false">IF(B261="","",IFERROR(INDEX(Configurações!$B$7:$B$30,MATCH(B261,Configurações!$A$7:$A$30,0)),"?"))</f>
        <v/>
      </c>
      <c r="G261" s="25" t="str">
        <f aca="false">IF(A261="","",A261-WEEKDAY(A261,2)+1)</f>
        <v/>
      </c>
      <c r="H261" s="26" t="str">
        <f aca="false">IF(A261="","",DATE(YEAR(A261),MONTH(A261),1))</f>
        <v/>
      </c>
    </row>
    <row r="262" customFormat="false" ht="15" hidden="false" customHeight="false" outlineLevel="0" collapsed="false">
      <c r="A262" s="22"/>
      <c r="B262" s="23"/>
      <c r="C262" s="23"/>
      <c r="D262" s="24"/>
      <c r="E262" s="23"/>
      <c r="F262" s="15" t="str">
        <f aca="false">IF(B262="","",IFERROR(INDEX(Configurações!$B$7:$B$30,MATCH(B262,Configurações!$A$7:$A$30,0)),"?"))</f>
        <v/>
      </c>
      <c r="G262" s="25" t="str">
        <f aca="false">IF(A262="","",A262-WEEKDAY(A262,2)+1)</f>
        <v/>
      </c>
      <c r="H262" s="26" t="str">
        <f aca="false">IF(A262="","",DATE(YEAR(A262),MONTH(A262),1))</f>
        <v/>
      </c>
    </row>
    <row r="263" customFormat="false" ht="15" hidden="false" customHeight="false" outlineLevel="0" collapsed="false">
      <c r="A263" s="22"/>
      <c r="B263" s="23"/>
      <c r="C263" s="23"/>
      <c r="D263" s="24"/>
      <c r="E263" s="23"/>
      <c r="F263" s="15" t="str">
        <f aca="false">IF(B263="","",IFERROR(INDEX(Configurações!$B$7:$B$30,MATCH(B263,Configurações!$A$7:$A$30,0)),"?"))</f>
        <v/>
      </c>
      <c r="G263" s="25" t="str">
        <f aca="false">IF(A263="","",A263-WEEKDAY(A263,2)+1)</f>
        <v/>
      </c>
      <c r="H263" s="26" t="str">
        <f aca="false">IF(A263="","",DATE(YEAR(A263),MONTH(A263),1))</f>
        <v/>
      </c>
    </row>
    <row r="264" customFormat="false" ht="15" hidden="false" customHeight="false" outlineLevel="0" collapsed="false">
      <c r="A264" s="22"/>
      <c r="B264" s="23"/>
      <c r="C264" s="23"/>
      <c r="D264" s="24"/>
      <c r="E264" s="23"/>
      <c r="F264" s="15" t="str">
        <f aca="false">IF(B264="","",IFERROR(INDEX(Configurações!$B$7:$B$30,MATCH(B264,Configurações!$A$7:$A$30,0)),"?"))</f>
        <v/>
      </c>
      <c r="G264" s="25" t="str">
        <f aca="false">IF(A264="","",A264-WEEKDAY(A264,2)+1)</f>
        <v/>
      </c>
      <c r="H264" s="26" t="str">
        <f aca="false">IF(A264="","",DATE(YEAR(A264),MONTH(A264),1))</f>
        <v/>
      </c>
    </row>
    <row r="265" customFormat="false" ht="15" hidden="false" customHeight="false" outlineLevel="0" collapsed="false">
      <c r="A265" s="22"/>
      <c r="B265" s="23"/>
      <c r="C265" s="23"/>
      <c r="D265" s="24"/>
      <c r="E265" s="23"/>
      <c r="F265" s="15" t="str">
        <f aca="false">IF(B265="","",IFERROR(INDEX(Configurações!$B$7:$B$30,MATCH(B265,Configurações!$A$7:$A$30,0)),"?"))</f>
        <v/>
      </c>
      <c r="G265" s="25" t="str">
        <f aca="false">IF(A265="","",A265-WEEKDAY(A265,2)+1)</f>
        <v/>
      </c>
      <c r="H265" s="26" t="str">
        <f aca="false">IF(A265="","",DATE(YEAR(A265),MONTH(A265),1))</f>
        <v/>
      </c>
    </row>
    <row r="266" customFormat="false" ht="15" hidden="false" customHeight="false" outlineLevel="0" collapsed="false">
      <c r="A266" s="22"/>
      <c r="B266" s="23"/>
      <c r="C266" s="23"/>
      <c r="D266" s="24"/>
      <c r="E266" s="23"/>
      <c r="F266" s="15" t="str">
        <f aca="false">IF(B266="","",IFERROR(INDEX(Configurações!$B$7:$B$30,MATCH(B266,Configurações!$A$7:$A$30,0)),"?"))</f>
        <v/>
      </c>
      <c r="G266" s="25" t="str">
        <f aca="false">IF(A266="","",A266-WEEKDAY(A266,2)+1)</f>
        <v/>
      </c>
      <c r="H266" s="26" t="str">
        <f aca="false">IF(A266="","",DATE(YEAR(A266),MONTH(A266),1))</f>
        <v/>
      </c>
    </row>
    <row r="267" customFormat="false" ht="15" hidden="false" customHeight="false" outlineLevel="0" collapsed="false">
      <c r="A267" s="22"/>
      <c r="B267" s="23"/>
      <c r="C267" s="23"/>
      <c r="D267" s="24"/>
      <c r="E267" s="23"/>
      <c r="F267" s="15" t="str">
        <f aca="false">IF(B267="","",IFERROR(INDEX(Configurações!$B$7:$B$30,MATCH(B267,Configurações!$A$7:$A$30,0)),"?"))</f>
        <v/>
      </c>
      <c r="G267" s="25" t="str">
        <f aca="false">IF(A267="","",A267-WEEKDAY(A267,2)+1)</f>
        <v/>
      </c>
      <c r="H267" s="26" t="str">
        <f aca="false">IF(A267="","",DATE(YEAR(A267),MONTH(A267),1))</f>
        <v/>
      </c>
    </row>
    <row r="268" customFormat="false" ht="15" hidden="false" customHeight="false" outlineLevel="0" collapsed="false">
      <c r="A268" s="22"/>
      <c r="B268" s="23"/>
      <c r="C268" s="23"/>
      <c r="D268" s="24"/>
      <c r="E268" s="23"/>
      <c r="F268" s="15" t="str">
        <f aca="false">IF(B268="","",IFERROR(INDEX(Configurações!$B$7:$B$30,MATCH(B268,Configurações!$A$7:$A$30,0)),"?"))</f>
        <v/>
      </c>
      <c r="G268" s="25" t="str">
        <f aca="false">IF(A268="","",A268-WEEKDAY(A268,2)+1)</f>
        <v/>
      </c>
      <c r="H268" s="26" t="str">
        <f aca="false">IF(A268="","",DATE(YEAR(A268),MONTH(A268),1))</f>
        <v/>
      </c>
    </row>
    <row r="269" customFormat="false" ht="15" hidden="false" customHeight="false" outlineLevel="0" collapsed="false">
      <c r="A269" s="22"/>
      <c r="B269" s="23"/>
      <c r="C269" s="23"/>
      <c r="D269" s="24"/>
      <c r="E269" s="23"/>
      <c r="F269" s="15" t="str">
        <f aca="false">IF(B269="","",IFERROR(INDEX(Configurações!$B$7:$B$30,MATCH(B269,Configurações!$A$7:$A$30,0)),"?"))</f>
        <v/>
      </c>
      <c r="G269" s="25" t="str">
        <f aca="false">IF(A269="","",A269-WEEKDAY(A269,2)+1)</f>
        <v/>
      </c>
      <c r="H269" s="26" t="str">
        <f aca="false">IF(A269="","",DATE(YEAR(A269),MONTH(A269),1))</f>
        <v/>
      </c>
    </row>
    <row r="270" customFormat="false" ht="15" hidden="false" customHeight="false" outlineLevel="0" collapsed="false">
      <c r="A270" s="22"/>
      <c r="B270" s="23"/>
      <c r="C270" s="23"/>
      <c r="D270" s="24"/>
      <c r="E270" s="23"/>
      <c r="F270" s="15" t="str">
        <f aca="false">IF(B270="","",IFERROR(INDEX(Configurações!$B$7:$B$30,MATCH(B270,Configurações!$A$7:$A$30,0)),"?"))</f>
        <v/>
      </c>
      <c r="G270" s="25" t="str">
        <f aca="false">IF(A270="","",A270-WEEKDAY(A270,2)+1)</f>
        <v/>
      </c>
      <c r="H270" s="26" t="str">
        <f aca="false">IF(A270="","",DATE(YEAR(A270),MONTH(A270),1))</f>
        <v/>
      </c>
    </row>
    <row r="271" customFormat="false" ht="15" hidden="false" customHeight="false" outlineLevel="0" collapsed="false">
      <c r="A271" s="22"/>
      <c r="B271" s="23"/>
      <c r="C271" s="23"/>
      <c r="D271" s="24"/>
      <c r="E271" s="23"/>
      <c r="F271" s="15" t="str">
        <f aca="false">IF(B271="","",IFERROR(INDEX(Configurações!$B$7:$B$30,MATCH(B271,Configurações!$A$7:$A$30,0)),"?"))</f>
        <v/>
      </c>
      <c r="G271" s="25" t="str">
        <f aca="false">IF(A271="","",A271-WEEKDAY(A271,2)+1)</f>
        <v/>
      </c>
      <c r="H271" s="26" t="str">
        <f aca="false">IF(A271="","",DATE(YEAR(A271),MONTH(A271),1))</f>
        <v/>
      </c>
    </row>
    <row r="272" customFormat="false" ht="15" hidden="false" customHeight="false" outlineLevel="0" collapsed="false">
      <c r="A272" s="22"/>
      <c r="B272" s="23"/>
      <c r="C272" s="23"/>
      <c r="D272" s="24"/>
      <c r="E272" s="23"/>
      <c r="F272" s="15" t="str">
        <f aca="false">IF(B272="","",IFERROR(INDEX(Configurações!$B$7:$B$30,MATCH(B272,Configurações!$A$7:$A$30,0)),"?"))</f>
        <v/>
      </c>
      <c r="G272" s="25" t="str">
        <f aca="false">IF(A272="","",A272-WEEKDAY(A272,2)+1)</f>
        <v/>
      </c>
      <c r="H272" s="26" t="str">
        <f aca="false">IF(A272="","",DATE(YEAR(A272),MONTH(A272),1))</f>
        <v/>
      </c>
    </row>
    <row r="273" customFormat="false" ht="15" hidden="false" customHeight="false" outlineLevel="0" collapsed="false">
      <c r="A273" s="22"/>
      <c r="B273" s="23"/>
      <c r="C273" s="23"/>
      <c r="D273" s="24"/>
      <c r="E273" s="23"/>
      <c r="F273" s="15" t="str">
        <f aca="false">IF(B273="","",IFERROR(INDEX(Configurações!$B$7:$B$30,MATCH(B273,Configurações!$A$7:$A$30,0)),"?"))</f>
        <v/>
      </c>
      <c r="G273" s="25" t="str">
        <f aca="false">IF(A273="","",A273-WEEKDAY(A273,2)+1)</f>
        <v/>
      </c>
      <c r="H273" s="26" t="str">
        <f aca="false">IF(A273="","",DATE(YEAR(A273),MONTH(A273),1))</f>
        <v/>
      </c>
    </row>
    <row r="274" customFormat="false" ht="15" hidden="false" customHeight="false" outlineLevel="0" collapsed="false">
      <c r="A274" s="22"/>
      <c r="B274" s="23"/>
      <c r="C274" s="23"/>
      <c r="D274" s="24"/>
      <c r="E274" s="23"/>
      <c r="F274" s="15" t="str">
        <f aca="false">IF(B274="","",IFERROR(INDEX(Configurações!$B$7:$B$30,MATCH(B274,Configurações!$A$7:$A$30,0)),"?"))</f>
        <v/>
      </c>
      <c r="G274" s="25" t="str">
        <f aca="false">IF(A274="","",A274-WEEKDAY(A274,2)+1)</f>
        <v/>
      </c>
      <c r="H274" s="26" t="str">
        <f aca="false">IF(A274="","",DATE(YEAR(A274),MONTH(A274),1))</f>
        <v/>
      </c>
    </row>
    <row r="275" customFormat="false" ht="15" hidden="false" customHeight="false" outlineLevel="0" collapsed="false">
      <c r="A275" s="22"/>
      <c r="B275" s="23"/>
      <c r="C275" s="23"/>
      <c r="D275" s="24"/>
      <c r="E275" s="23"/>
      <c r="F275" s="15" t="str">
        <f aca="false">IF(B275="","",IFERROR(INDEX(Configurações!$B$7:$B$30,MATCH(B275,Configurações!$A$7:$A$30,0)),"?"))</f>
        <v/>
      </c>
      <c r="G275" s="25" t="str">
        <f aca="false">IF(A275="","",A275-WEEKDAY(A275,2)+1)</f>
        <v/>
      </c>
      <c r="H275" s="26" t="str">
        <f aca="false">IF(A275="","",DATE(YEAR(A275),MONTH(A275),1))</f>
        <v/>
      </c>
    </row>
    <row r="276" customFormat="false" ht="15" hidden="false" customHeight="false" outlineLevel="0" collapsed="false">
      <c r="A276" s="22"/>
      <c r="B276" s="23"/>
      <c r="C276" s="23"/>
      <c r="D276" s="24"/>
      <c r="E276" s="23"/>
      <c r="F276" s="15" t="str">
        <f aca="false">IF(B276="","",IFERROR(INDEX(Configurações!$B$7:$B$30,MATCH(B276,Configurações!$A$7:$A$30,0)),"?"))</f>
        <v/>
      </c>
      <c r="G276" s="25" t="str">
        <f aca="false">IF(A276="","",A276-WEEKDAY(A276,2)+1)</f>
        <v/>
      </c>
      <c r="H276" s="26" t="str">
        <f aca="false">IF(A276="","",DATE(YEAR(A276),MONTH(A276),1))</f>
        <v/>
      </c>
    </row>
    <row r="277" customFormat="false" ht="15" hidden="false" customHeight="false" outlineLevel="0" collapsed="false">
      <c r="A277" s="22"/>
      <c r="B277" s="23"/>
      <c r="C277" s="23"/>
      <c r="D277" s="24"/>
      <c r="E277" s="23"/>
      <c r="F277" s="15" t="str">
        <f aca="false">IF(B277="","",IFERROR(INDEX(Configurações!$B$7:$B$30,MATCH(B277,Configurações!$A$7:$A$30,0)),"?"))</f>
        <v/>
      </c>
      <c r="G277" s="25" t="str">
        <f aca="false">IF(A277="","",A277-WEEKDAY(A277,2)+1)</f>
        <v/>
      </c>
      <c r="H277" s="26" t="str">
        <f aca="false">IF(A277="","",DATE(YEAR(A277),MONTH(A277),1))</f>
        <v/>
      </c>
    </row>
    <row r="278" customFormat="false" ht="15" hidden="false" customHeight="false" outlineLevel="0" collapsed="false">
      <c r="A278" s="22"/>
      <c r="B278" s="23"/>
      <c r="C278" s="23"/>
      <c r="D278" s="24"/>
      <c r="E278" s="23"/>
      <c r="F278" s="15" t="str">
        <f aca="false">IF(B278="","",IFERROR(INDEX(Configurações!$B$7:$B$30,MATCH(B278,Configurações!$A$7:$A$30,0)),"?"))</f>
        <v/>
      </c>
      <c r="G278" s="25" t="str">
        <f aca="false">IF(A278="","",A278-WEEKDAY(A278,2)+1)</f>
        <v/>
      </c>
      <c r="H278" s="26" t="str">
        <f aca="false">IF(A278="","",DATE(YEAR(A278),MONTH(A278),1))</f>
        <v/>
      </c>
    </row>
    <row r="279" customFormat="false" ht="15" hidden="false" customHeight="false" outlineLevel="0" collapsed="false">
      <c r="A279" s="22"/>
      <c r="B279" s="23"/>
      <c r="C279" s="23"/>
      <c r="D279" s="24"/>
      <c r="E279" s="23"/>
      <c r="F279" s="15" t="str">
        <f aca="false">IF(B279="","",IFERROR(INDEX(Configurações!$B$7:$B$30,MATCH(B279,Configurações!$A$7:$A$30,0)),"?"))</f>
        <v/>
      </c>
      <c r="G279" s="25" t="str">
        <f aca="false">IF(A279="","",A279-WEEKDAY(A279,2)+1)</f>
        <v/>
      </c>
      <c r="H279" s="26" t="str">
        <f aca="false">IF(A279="","",DATE(YEAR(A279),MONTH(A279),1))</f>
        <v/>
      </c>
    </row>
    <row r="280" customFormat="false" ht="15" hidden="false" customHeight="false" outlineLevel="0" collapsed="false">
      <c r="A280" s="22"/>
      <c r="B280" s="23"/>
      <c r="C280" s="23"/>
      <c r="D280" s="24"/>
      <c r="E280" s="23"/>
      <c r="F280" s="15" t="str">
        <f aca="false">IF(B280="","",IFERROR(INDEX(Configurações!$B$7:$B$30,MATCH(B280,Configurações!$A$7:$A$30,0)),"?"))</f>
        <v/>
      </c>
      <c r="G280" s="25" t="str">
        <f aca="false">IF(A280="","",A280-WEEKDAY(A280,2)+1)</f>
        <v/>
      </c>
      <c r="H280" s="26" t="str">
        <f aca="false">IF(A280="","",DATE(YEAR(A280),MONTH(A280),1))</f>
        <v/>
      </c>
    </row>
    <row r="281" customFormat="false" ht="15" hidden="false" customHeight="false" outlineLevel="0" collapsed="false">
      <c r="A281" s="22"/>
      <c r="B281" s="23"/>
      <c r="C281" s="23"/>
      <c r="D281" s="24"/>
      <c r="E281" s="23"/>
      <c r="F281" s="15" t="str">
        <f aca="false">IF(B281="","",IFERROR(INDEX(Configurações!$B$7:$B$30,MATCH(B281,Configurações!$A$7:$A$30,0)),"?"))</f>
        <v/>
      </c>
      <c r="G281" s="25" t="str">
        <f aca="false">IF(A281="","",A281-WEEKDAY(A281,2)+1)</f>
        <v/>
      </c>
      <c r="H281" s="26" t="str">
        <f aca="false">IF(A281="","",DATE(YEAR(A281),MONTH(A281),1))</f>
        <v/>
      </c>
    </row>
    <row r="282" customFormat="false" ht="15" hidden="false" customHeight="false" outlineLevel="0" collapsed="false">
      <c r="A282" s="22"/>
      <c r="B282" s="23"/>
      <c r="C282" s="23"/>
      <c r="D282" s="24"/>
      <c r="E282" s="23"/>
      <c r="F282" s="15" t="str">
        <f aca="false">IF(B282="","",IFERROR(INDEX(Configurações!$B$7:$B$30,MATCH(B282,Configurações!$A$7:$A$30,0)),"?"))</f>
        <v/>
      </c>
      <c r="G282" s="25" t="str">
        <f aca="false">IF(A282="","",A282-WEEKDAY(A282,2)+1)</f>
        <v/>
      </c>
      <c r="H282" s="26" t="str">
        <f aca="false">IF(A282="","",DATE(YEAR(A282),MONTH(A282),1))</f>
        <v/>
      </c>
    </row>
    <row r="283" customFormat="false" ht="15" hidden="false" customHeight="false" outlineLevel="0" collapsed="false">
      <c r="A283" s="22"/>
      <c r="B283" s="23"/>
      <c r="C283" s="23"/>
      <c r="D283" s="24"/>
      <c r="E283" s="23"/>
      <c r="F283" s="15" t="str">
        <f aca="false">IF(B283="","",IFERROR(INDEX(Configurações!$B$7:$B$30,MATCH(B283,Configurações!$A$7:$A$30,0)),"?"))</f>
        <v/>
      </c>
      <c r="G283" s="25" t="str">
        <f aca="false">IF(A283="","",A283-WEEKDAY(A283,2)+1)</f>
        <v/>
      </c>
      <c r="H283" s="26" t="str">
        <f aca="false">IF(A283="","",DATE(YEAR(A283),MONTH(A283),1))</f>
        <v/>
      </c>
    </row>
    <row r="284" customFormat="false" ht="15" hidden="false" customHeight="false" outlineLevel="0" collapsed="false">
      <c r="A284" s="22"/>
      <c r="B284" s="23"/>
      <c r="C284" s="23"/>
      <c r="D284" s="24"/>
      <c r="E284" s="23"/>
      <c r="F284" s="15" t="str">
        <f aca="false">IF(B284="","",IFERROR(INDEX(Configurações!$B$7:$B$30,MATCH(B284,Configurações!$A$7:$A$30,0)),"?"))</f>
        <v/>
      </c>
      <c r="G284" s="25" t="str">
        <f aca="false">IF(A284="","",A284-WEEKDAY(A284,2)+1)</f>
        <v/>
      </c>
      <c r="H284" s="26" t="str">
        <f aca="false">IF(A284="","",DATE(YEAR(A284),MONTH(A284),1))</f>
        <v/>
      </c>
    </row>
    <row r="285" customFormat="false" ht="15" hidden="false" customHeight="false" outlineLevel="0" collapsed="false">
      <c r="A285" s="22"/>
      <c r="B285" s="23"/>
      <c r="C285" s="23"/>
      <c r="D285" s="24"/>
      <c r="E285" s="23"/>
      <c r="F285" s="15" t="str">
        <f aca="false">IF(B285="","",IFERROR(INDEX(Configurações!$B$7:$B$30,MATCH(B285,Configurações!$A$7:$A$30,0)),"?"))</f>
        <v/>
      </c>
      <c r="G285" s="25" t="str">
        <f aca="false">IF(A285="","",A285-WEEKDAY(A285,2)+1)</f>
        <v/>
      </c>
      <c r="H285" s="26" t="str">
        <f aca="false">IF(A285="","",DATE(YEAR(A285),MONTH(A285),1))</f>
        <v/>
      </c>
    </row>
    <row r="286" customFormat="false" ht="15" hidden="false" customHeight="false" outlineLevel="0" collapsed="false">
      <c r="A286" s="22"/>
      <c r="B286" s="23"/>
      <c r="C286" s="23"/>
      <c r="D286" s="24"/>
      <c r="E286" s="23"/>
      <c r="F286" s="15" t="str">
        <f aca="false">IF(B286="","",IFERROR(INDEX(Configurações!$B$7:$B$30,MATCH(B286,Configurações!$A$7:$A$30,0)),"?"))</f>
        <v/>
      </c>
      <c r="G286" s="25" t="str">
        <f aca="false">IF(A286="","",A286-WEEKDAY(A286,2)+1)</f>
        <v/>
      </c>
      <c r="H286" s="26" t="str">
        <f aca="false">IF(A286="","",DATE(YEAR(A286),MONTH(A286),1))</f>
        <v/>
      </c>
    </row>
    <row r="287" customFormat="false" ht="15" hidden="false" customHeight="false" outlineLevel="0" collapsed="false">
      <c r="A287" s="22"/>
      <c r="B287" s="23"/>
      <c r="C287" s="23"/>
      <c r="D287" s="24"/>
      <c r="E287" s="23"/>
      <c r="F287" s="15" t="str">
        <f aca="false">IF(B287="","",IFERROR(INDEX(Configurações!$B$7:$B$30,MATCH(B287,Configurações!$A$7:$A$30,0)),"?"))</f>
        <v/>
      </c>
      <c r="G287" s="25" t="str">
        <f aca="false">IF(A287="","",A287-WEEKDAY(A287,2)+1)</f>
        <v/>
      </c>
      <c r="H287" s="26" t="str">
        <f aca="false">IF(A287="","",DATE(YEAR(A287),MONTH(A287),1))</f>
        <v/>
      </c>
    </row>
    <row r="288" customFormat="false" ht="15" hidden="false" customHeight="false" outlineLevel="0" collapsed="false">
      <c r="A288" s="22"/>
      <c r="B288" s="23"/>
      <c r="C288" s="23"/>
      <c r="D288" s="24"/>
      <c r="E288" s="23"/>
      <c r="F288" s="15" t="str">
        <f aca="false">IF(B288="","",IFERROR(INDEX(Configurações!$B$7:$B$30,MATCH(B288,Configurações!$A$7:$A$30,0)),"?"))</f>
        <v/>
      </c>
      <c r="G288" s="25" t="str">
        <f aca="false">IF(A288="","",A288-WEEKDAY(A288,2)+1)</f>
        <v/>
      </c>
      <c r="H288" s="26" t="str">
        <f aca="false">IF(A288="","",DATE(YEAR(A288),MONTH(A288),1))</f>
        <v/>
      </c>
    </row>
    <row r="289" customFormat="false" ht="15" hidden="false" customHeight="false" outlineLevel="0" collapsed="false">
      <c r="A289" s="22"/>
      <c r="B289" s="23"/>
      <c r="C289" s="23"/>
      <c r="D289" s="24"/>
      <c r="E289" s="23"/>
      <c r="F289" s="15" t="str">
        <f aca="false">IF(B289="","",IFERROR(INDEX(Configurações!$B$7:$B$30,MATCH(B289,Configurações!$A$7:$A$30,0)),"?"))</f>
        <v/>
      </c>
      <c r="G289" s="25" t="str">
        <f aca="false">IF(A289="","",A289-WEEKDAY(A289,2)+1)</f>
        <v/>
      </c>
      <c r="H289" s="26" t="str">
        <f aca="false">IF(A289="","",DATE(YEAR(A289),MONTH(A289),1))</f>
        <v/>
      </c>
    </row>
    <row r="290" customFormat="false" ht="15" hidden="false" customHeight="false" outlineLevel="0" collapsed="false">
      <c r="A290" s="22"/>
      <c r="B290" s="23"/>
      <c r="C290" s="23"/>
      <c r="D290" s="24"/>
      <c r="E290" s="23"/>
      <c r="F290" s="15" t="str">
        <f aca="false">IF(B290="","",IFERROR(INDEX(Configurações!$B$7:$B$30,MATCH(B290,Configurações!$A$7:$A$30,0)),"?"))</f>
        <v/>
      </c>
      <c r="G290" s="25" t="str">
        <f aca="false">IF(A290="","",A290-WEEKDAY(A290,2)+1)</f>
        <v/>
      </c>
      <c r="H290" s="26" t="str">
        <f aca="false">IF(A290="","",DATE(YEAR(A290),MONTH(A290),1))</f>
        <v/>
      </c>
    </row>
    <row r="291" customFormat="false" ht="15" hidden="false" customHeight="false" outlineLevel="0" collapsed="false">
      <c r="A291" s="22"/>
      <c r="B291" s="23"/>
      <c r="C291" s="23"/>
      <c r="D291" s="24"/>
      <c r="E291" s="23"/>
      <c r="F291" s="15" t="str">
        <f aca="false">IF(B291="","",IFERROR(INDEX(Configurações!$B$7:$B$30,MATCH(B291,Configurações!$A$7:$A$30,0)),"?"))</f>
        <v/>
      </c>
      <c r="G291" s="25" t="str">
        <f aca="false">IF(A291="","",A291-WEEKDAY(A291,2)+1)</f>
        <v/>
      </c>
      <c r="H291" s="26" t="str">
        <f aca="false">IF(A291="","",DATE(YEAR(A291),MONTH(A291),1))</f>
        <v/>
      </c>
    </row>
    <row r="292" customFormat="false" ht="15" hidden="false" customHeight="false" outlineLevel="0" collapsed="false">
      <c r="A292" s="22"/>
      <c r="B292" s="23"/>
      <c r="C292" s="23"/>
      <c r="D292" s="24"/>
      <c r="E292" s="23"/>
      <c r="F292" s="15" t="str">
        <f aca="false">IF(B292="","",IFERROR(INDEX(Configurações!$B$7:$B$30,MATCH(B292,Configurações!$A$7:$A$30,0)),"?"))</f>
        <v/>
      </c>
      <c r="G292" s="25" t="str">
        <f aca="false">IF(A292="","",A292-WEEKDAY(A292,2)+1)</f>
        <v/>
      </c>
      <c r="H292" s="26" t="str">
        <f aca="false">IF(A292="","",DATE(YEAR(A292),MONTH(A292),1))</f>
        <v/>
      </c>
    </row>
    <row r="293" customFormat="false" ht="15" hidden="false" customHeight="false" outlineLevel="0" collapsed="false">
      <c r="A293" s="22"/>
      <c r="B293" s="23"/>
      <c r="C293" s="23"/>
      <c r="D293" s="24"/>
      <c r="E293" s="23"/>
      <c r="F293" s="15" t="str">
        <f aca="false">IF(B293="","",IFERROR(INDEX(Configurações!$B$7:$B$30,MATCH(B293,Configurações!$A$7:$A$30,0)),"?"))</f>
        <v/>
      </c>
      <c r="G293" s="25" t="str">
        <f aca="false">IF(A293="","",A293-WEEKDAY(A293,2)+1)</f>
        <v/>
      </c>
      <c r="H293" s="26" t="str">
        <f aca="false">IF(A293="","",DATE(YEAR(A293),MONTH(A293),1))</f>
        <v/>
      </c>
    </row>
    <row r="294" customFormat="false" ht="15" hidden="false" customHeight="false" outlineLevel="0" collapsed="false">
      <c r="A294" s="22"/>
      <c r="B294" s="23"/>
      <c r="C294" s="23"/>
      <c r="D294" s="24"/>
      <c r="E294" s="23"/>
      <c r="F294" s="15" t="str">
        <f aca="false">IF(B294="","",IFERROR(INDEX(Configurações!$B$7:$B$30,MATCH(B294,Configurações!$A$7:$A$30,0)),"?"))</f>
        <v/>
      </c>
      <c r="G294" s="25" t="str">
        <f aca="false">IF(A294="","",A294-WEEKDAY(A294,2)+1)</f>
        <v/>
      </c>
      <c r="H294" s="26" t="str">
        <f aca="false">IF(A294="","",DATE(YEAR(A294),MONTH(A294),1))</f>
        <v/>
      </c>
    </row>
    <row r="295" customFormat="false" ht="15" hidden="false" customHeight="false" outlineLevel="0" collapsed="false">
      <c r="A295" s="22"/>
      <c r="B295" s="23"/>
      <c r="C295" s="23"/>
      <c r="D295" s="24"/>
      <c r="E295" s="23"/>
      <c r="F295" s="15" t="str">
        <f aca="false">IF(B295="","",IFERROR(INDEX(Configurações!$B$7:$B$30,MATCH(B295,Configurações!$A$7:$A$30,0)),"?"))</f>
        <v/>
      </c>
      <c r="G295" s="25" t="str">
        <f aca="false">IF(A295="","",A295-WEEKDAY(A295,2)+1)</f>
        <v/>
      </c>
      <c r="H295" s="26" t="str">
        <f aca="false">IF(A295="","",DATE(YEAR(A295),MONTH(A295),1))</f>
        <v/>
      </c>
    </row>
    <row r="296" customFormat="false" ht="15" hidden="false" customHeight="false" outlineLevel="0" collapsed="false">
      <c r="A296" s="22"/>
      <c r="B296" s="23"/>
      <c r="C296" s="23"/>
      <c r="D296" s="24"/>
      <c r="E296" s="23"/>
      <c r="F296" s="15" t="str">
        <f aca="false">IF(B296="","",IFERROR(INDEX(Configurações!$B$7:$B$30,MATCH(B296,Configurações!$A$7:$A$30,0)),"?"))</f>
        <v/>
      </c>
      <c r="G296" s="25" t="str">
        <f aca="false">IF(A296="","",A296-WEEKDAY(A296,2)+1)</f>
        <v/>
      </c>
      <c r="H296" s="26" t="str">
        <f aca="false">IF(A296="","",DATE(YEAR(A296),MONTH(A296),1))</f>
        <v/>
      </c>
    </row>
    <row r="297" customFormat="false" ht="15" hidden="false" customHeight="false" outlineLevel="0" collapsed="false">
      <c r="A297" s="22"/>
      <c r="B297" s="23"/>
      <c r="C297" s="23"/>
      <c r="D297" s="24"/>
      <c r="E297" s="23"/>
      <c r="F297" s="15" t="str">
        <f aca="false">IF(B297="","",IFERROR(INDEX(Configurações!$B$7:$B$30,MATCH(B297,Configurações!$A$7:$A$30,0)),"?"))</f>
        <v/>
      </c>
      <c r="G297" s="25" t="str">
        <f aca="false">IF(A297="","",A297-WEEKDAY(A297,2)+1)</f>
        <v/>
      </c>
      <c r="H297" s="26" t="str">
        <f aca="false">IF(A297="","",DATE(YEAR(A297),MONTH(A297),1))</f>
        <v/>
      </c>
    </row>
    <row r="298" customFormat="false" ht="15" hidden="false" customHeight="false" outlineLevel="0" collapsed="false">
      <c r="A298" s="22"/>
      <c r="B298" s="23"/>
      <c r="C298" s="23"/>
      <c r="D298" s="24"/>
      <c r="E298" s="23"/>
      <c r="F298" s="15" t="str">
        <f aca="false">IF(B298="","",IFERROR(INDEX(Configurações!$B$7:$B$30,MATCH(B298,Configurações!$A$7:$A$30,0)),"?"))</f>
        <v/>
      </c>
      <c r="G298" s="25" t="str">
        <f aca="false">IF(A298="","",A298-WEEKDAY(A298,2)+1)</f>
        <v/>
      </c>
      <c r="H298" s="26" t="str">
        <f aca="false">IF(A298="","",DATE(YEAR(A298),MONTH(A298),1))</f>
        <v/>
      </c>
    </row>
    <row r="299" customFormat="false" ht="15" hidden="false" customHeight="false" outlineLevel="0" collapsed="false">
      <c r="A299" s="22"/>
      <c r="B299" s="23"/>
      <c r="C299" s="23"/>
      <c r="D299" s="24"/>
      <c r="E299" s="23"/>
      <c r="F299" s="15" t="str">
        <f aca="false">IF(B299="","",IFERROR(INDEX(Configurações!$B$7:$B$30,MATCH(B299,Configurações!$A$7:$A$30,0)),"?"))</f>
        <v/>
      </c>
      <c r="G299" s="25" t="str">
        <f aca="false">IF(A299="","",A299-WEEKDAY(A299,2)+1)</f>
        <v/>
      </c>
      <c r="H299" s="26" t="str">
        <f aca="false">IF(A299="","",DATE(YEAR(A299),MONTH(A299),1))</f>
        <v/>
      </c>
    </row>
    <row r="300" customFormat="false" ht="15" hidden="false" customHeight="false" outlineLevel="0" collapsed="false">
      <c r="A300" s="22"/>
      <c r="B300" s="23"/>
      <c r="C300" s="23"/>
      <c r="D300" s="24"/>
      <c r="E300" s="23"/>
      <c r="F300" s="15" t="str">
        <f aca="false">IF(B300="","",IFERROR(INDEX(Configurações!$B$7:$B$30,MATCH(B300,Configurações!$A$7:$A$30,0)),"?"))</f>
        <v/>
      </c>
      <c r="G300" s="25" t="str">
        <f aca="false">IF(A300="","",A300-WEEKDAY(A300,2)+1)</f>
        <v/>
      </c>
      <c r="H300" s="26" t="str">
        <f aca="false">IF(A300="","",DATE(YEAR(A300),MONTH(A300),1))</f>
        <v/>
      </c>
    </row>
    <row r="301" customFormat="false" ht="15" hidden="false" customHeight="false" outlineLevel="0" collapsed="false">
      <c r="A301" s="22"/>
      <c r="B301" s="23"/>
      <c r="C301" s="23"/>
      <c r="D301" s="24"/>
      <c r="E301" s="23"/>
      <c r="F301" s="15" t="str">
        <f aca="false">IF(B301="","",IFERROR(INDEX(Configurações!$B$7:$B$30,MATCH(B301,Configurações!$A$7:$A$30,0)),"?"))</f>
        <v/>
      </c>
      <c r="G301" s="25" t="str">
        <f aca="false">IF(A301="","",A301-WEEKDAY(A301,2)+1)</f>
        <v/>
      </c>
      <c r="H301" s="26" t="str">
        <f aca="false">IF(A301="","",DATE(YEAR(A301),MONTH(A301),1))</f>
        <v/>
      </c>
    </row>
    <row r="302" customFormat="false" ht="15" hidden="false" customHeight="false" outlineLevel="0" collapsed="false">
      <c r="A302" s="22"/>
      <c r="B302" s="23"/>
      <c r="C302" s="23"/>
      <c r="D302" s="24"/>
      <c r="E302" s="23"/>
      <c r="F302" s="15" t="str">
        <f aca="false">IF(B302="","",IFERROR(INDEX(Configurações!$B$7:$B$30,MATCH(B302,Configurações!$A$7:$A$30,0)),"?"))</f>
        <v/>
      </c>
      <c r="G302" s="25" t="str">
        <f aca="false">IF(A302="","",A302-WEEKDAY(A302,2)+1)</f>
        <v/>
      </c>
      <c r="H302" s="26" t="str">
        <f aca="false">IF(A302="","",DATE(YEAR(A302),MONTH(A302),1))</f>
        <v/>
      </c>
    </row>
    <row r="303" customFormat="false" ht="15" hidden="false" customHeight="false" outlineLevel="0" collapsed="false">
      <c r="A303" s="22"/>
      <c r="B303" s="23"/>
      <c r="C303" s="23"/>
      <c r="D303" s="24"/>
      <c r="E303" s="23"/>
      <c r="F303" s="15" t="str">
        <f aca="false">IF(B303="","",IFERROR(INDEX(Configurações!$B$7:$B$30,MATCH(B303,Configurações!$A$7:$A$30,0)),"?"))</f>
        <v/>
      </c>
      <c r="G303" s="25" t="str">
        <f aca="false">IF(A303="","",A303-WEEKDAY(A303,2)+1)</f>
        <v/>
      </c>
      <c r="H303" s="26" t="str">
        <f aca="false">IF(A303="","",DATE(YEAR(A303),MONTH(A303),1))</f>
        <v/>
      </c>
    </row>
    <row r="304" customFormat="false" ht="15" hidden="false" customHeight="false" outlineLevel="0" collapsed="false">
      <c r="A304" s="22"/>
      <c r="B304" s="23"/>
      <c r="C304" s="23"/>
      <c r="D304" s="24"/>
      <c r="E304" s="23"/>
      <c r="F304" s="15" t="str">
        <f aca="false">IF(B304="","",IFERROR(INDEX(Configurações!$B$7:$B$30,MATCH(B304,Configurações!$A$7:$A$30,0)),"?"))</f>
        <v/>
      </c>
      <c r="G304" s="25" t="str">
        <f aca="false">IF(A304="","",A304-WEEKDAY(A304,2)+1)</f>
        <v/>
      </c>
      <c r="H304" s="26" t="str">
        <f aca="false">IF(A304="","",DATE(YEAR(A304),MONTH(A304),1))</f>
        <v/>
      </c>
    </row>
    <row r="305" customFormat="false" ht="15" hidden="false" customHeight="false" outlineLevel="0" collapsed="false">
      <c r="A305" s="22"/>
      <c r="B305" s="23"/>
      <c r="C305" s="23"/>
      <c r="D305" s="24"/>
      <c r="E305" s="23"/>
      <c r="F305" s="15" t="str">
        <f aca="false">IF(B305="","",IFERROR(INDEX(Configurações!$B$7:$B$30,MATCH(B305,Configurações!$A$7:$A$30,0)),"?"))</f>
        <v/>
      </c>
      <c r="G305" s="25" t="str">
        <f aca="false">IF(A305="","",A305-WEEKDAY(A305,2)+1)</f>
        <v/>
      </c>
      <c r="H305" s="26" t="str">
        <f aca="false">IF(A305="","",DATE(YEAR(A305),MONTH(A305),1))</f>
        <v/>
      </c>
    </row>
    <row r="306" customFormat="false" ht="15" hidden="false" customHeight="false" outlineLevel="0" collapsed="false">
      <c r="A306" s="22"/>
      <c r="B306" s="23"/>
      <c r="C306" s="23"/>
      <c r="D306" s="24"/>
      <c r="E306" s="23"/>
      <c r="F306" s="15" t="str">
        <f aca="false">IF(B306="","",IFERROR(INDEX(Configurações!$B$7:$B$30,MATCH(B306,Configurações!$A$7:$A$30,0)),"?"))</f>
        <v/>
      </c>
      <c r="G306" s="25" t="str">
        <f aca="false">IF(A306="","",A306-WEEKDAY(A306,2)+1)</f>
        <v/>
      </c>
      <c r="H306" s="26" t="str">
        <f aca="false">IF(A306="","",DATE(YEAR(A306),MONTH(A306),1))</f>
        <v/>
      </c>
    </row>
    <row r="307" customFormat="false" ht="15" hidden="false" customHeight="false" outlineLevel="0" collapsed="false">
      <c r="A307" s="22"/>
      <c r="B307" s="23"/>
      <c r="C307" s="23"/>
      <c r="D307" s="24"/>
      <c r="E307" s="23"/>
      <c r="F307" s="15" t="str">
        <f aca="false">IF(B307="","",IFERROR(INDEX(Configurações!$B$7:$B$30,MATCH(B307,Configurações!$A$7:$A$30,0)),"?"))</f>
        <v/>
      </c>
      <c r="G307" s="25" t="str">
        <f aca="false">IF(A307="","",A307-WEEKDAY(A307,2)+1)</f>
        <v/>
      </c>
      <c r="H307" s="26" t="str">
        <f aca="false">IF(A307="","",DATE(YEAR(A307),MONTH(A307),1))</f>
        <v/>
      </c>
    </row>
    <row r="308" customFormat="false" ht="15" hidden="false" customHeight="false" outlineLevel="0" collapsed="false">
      <c r="A308" s="22"/>
      <c r="B308" s="23"/>
      <c r="C308" s="23"/>
      <c r="D308" s="24"/>
      <c r="E308" s="23"/>
      <c r="F308" s="15" t="str">
        <f aca="false">IF(B308="","",IFERROR(INDEX(Configurações!$B$7:$B$30,MATCH(B308,Configurações!$A$7:$A$30,0)),"?"))</f>
        <v/>
      </c>
      <c r="G308" s="25" t="str">
        <f aca="false">IF(A308="","",A308-WEEKDAY(A308,2)+1)</f>
        <v/>
      </c>
      <c r="H308" s="26" t="str">
        <f aca="false">IF(A308="","",DATE(YEAR(A308),MONTH(A308),1))</f>
        <v/>
      </c>
    </row>
    <row r="309" customFormat="false" ht="15" hidden="false" customHeight="false" outlineLevel="0" collapsed="false">
      <c r="A309" s="22"/>
      <c r="B309" s="23"/>
      <c r="C309" s="23"/>
      <c r="D309" s="24"/>
      <c r="E309" s="23"/>
      <c r="F309" s="15" t="str">
        <f aca="false">IF(B309="","",IFERROR(INDEX(Configurações!$B$7:$B$30,MATCH(B309,Configurações!$A$7:$A$30,0)),"?"))</f>
        <v/>
      </c>
      <c r="G309" s="25" t="str">
        <f aca="false">IF(A309="","",A309-WEEKDAY(A309,2)+1)</f>
        <v/>
      </c>
      <c r="H309" s="26" t="str">
        <f aca="false">IF(A309="","",DATE(YEAR(A309),MONTH(A309),1))</f>
        <v/>
      </c>
    </row>
    <row r="310" customFormat="false" ht="15" hidden="false" customHeight="false" outlineLevel="0" collapsed="false">
      <c r="A310" s="22"/>
      <c r="B310" s="23"/>
      <c r="C310" s="23"/>
      <c r="D310" s="24"/>
      <c r="E310" s="23"/>
      <c r="F310" s="15" t="str">
        <f aca="false">IF(B310="","",IFERROR(INDEX(Configurações!$B$7:$B$30,MATCH(B310,Configurações!$A$7:$A$30,0)),"?"))</f>
        <v/>
      </c>
      <c r="G310" s="25" t="str">
        <f aca="false">IF(A310="","",A310-WEEKDAY(A310,2)+1)</f>
        <v/>
      </c>
      <c r="H310" s="26" t="str">
        <f aca="false">IF(A310="","",DATE(YEAR(A310),MONTH(A310),1))</f>
        <v/>
      </c>
    </row>
    <row r="311" customFormat="false" ht="15" hidden="false" customHeight="false" outlineLevel="0" collapsed="false">
      <c r="A311" s="22"/>
      <c r="B311" s="23"/>
      <c r="C311" s="23"/>
      <c r="D311" s="24"/>
      <c r="E311" s="23"/>
      <c r="F311" s="15" t="str">
        <f aca="false">IF(B311="","",IFERROR(INDEX(Configurações!$B$7:$B$30,MATCH(B311,Configurações!$A$7:$A$30,0)),"?"))</f>
        <v/>
      </c>
      <c r="G311" s="25" t="str">
        <f aca="false">IF(A311="","",A311-WEEKDAY(A311,2)+1)</f>
        <v/>
      </c>
      <c r="H311" s="26" t="str">
        <f aca="false">IF(A311="","",DATE(YEAR(A311),MONTH(A311),1))</f>
        <v/>
      </c>
    </row>
    <row r="312" customFormat="false" ht="15" hidden="false" customHeight="false" outlineLevel="0" collapsed="false">
      <c r="A312" s="22"/>
      <c r="B312" s="23"/>
      <c r="C312" s="23"/>
      <c r="D312" s="24"/>
      <c r="E312" s="23"/>
      <c r="F312" s="15" t="str">
        <f aca="false">IF(B312="","",IFERROR(INDEX(Configurações!$B$7:$B$30,MATCH(B312,Configurações!$A$7:$A$30,0)),"?"))</f>
        <v/>
      </c>
      <c r="G312" s="25" t="str">
        <f aca="false">IF(A312="","",A312-WEEKDAY(A312,2)+1)</f>
        <v/>
      </c>
      <c r="H312" s="26" t="str">
        <f aca="false">IF(A312="","",DATE(YEAR(A312),MONTH(A312),1))</f>
        <v/>
      </c>
    </row>
    <row r="313" customFormat="false" ht="15" hidden="false" customHeight="false" outlineLevel="0" collapsed="false">
      <c r="A313" s="22"/>
      <c r="B313" s="23"/>
      <c r="C313" s="23"/>
      <c r="D313" s="24"/>
      <c r="E313" s="23"/>
      <c r="F313" s="15" t="str">
        <f aca="false">IF(B313="","",IFERROR(INDEX(Configurações!$B$7:$B$30,MATCH(B313,Configurações!$A$7:$A$30,0)),"?"))</f>
        <v/>
      </c>
      <c r="G313" s="25" t="str">
        <f aca="false">IF(A313="","",A313-WEEKDAY(A313,2)+1)</f>
        <v/>
      </c>
      <c r="H313" s="26" t="str">
        <f aca="false">IF(A313="","",DATE(YEAR(A313),MONTH(A313),1))</f>
        <v/>
      </c>
    </row>
    <row r="314" customFormat="false" ht="15" hidden="false" customHeight="false" outlineLevel="0" collapsed="false">
      <c r="A314" s="22"/>
      <c r="B314" s="23"/>
      <c r="C314" s="23"/>
      <c r="D314" s="24"/>
      <c r="E314" s="23"/>
      <c r="F314" s="15" t="str">
        <f aca="false">IF(B314="","",IFERROR(INDEX(Configurações!$B$7:$B$30,MATCH(B314,Configurações!$A$7:$A$30,0)),"?"))</f>
        <v/>
      </c>
      <c r="G314" s="25" t="str">
        <f aca="false">IF(A314="","",A314-WEEKDAY(A314,2)+1)</f>
        <v/>
      </c>
      <c r="H314" s="26" t="str">
        <f aca="false">IF(A314="","",DATE(YEAR(A314),MONTH(A314),1))</f>
        <v/>
      </c>
    </row>
    <row r="315" customFormat="false" ht="15" hidden="false" customHeight="false" outlineLevel="0" collapsed="false">
      <c r="A315" s="22"/>
      <c r="B315" s="23"/>
      <c r="C315" s="23"/>
      <c r="D315" s="24"/>
      <c r="E315" s="23"/>
      <c r="F315" s="15" t="str">
        <f aca="false">IF(B315="","",IFERROR(INDEX(Configurações!$B$7:$B$30,MATCH(B315,Configurações!$A$7:$A$30,0)),"?"))</f>
        <v/>
      </c>
      <c r="G315" s="25" t="str">
        <f aca="false">IF(A315="","",A315-WEEKDAY(A315,2)+1)</f>
        <v/>
      </c>
      <c r="H315" s="26" t="str">
        <f aca="false">IF(A315="","",DATE(YEAR(A315),MONTH(A315),1))</f>
        <v/>
      </c>
    </row>
    <row r="316" customFormat="false" ht="15" hidden="false" customHeight="false" outlineLevel="0" collapsed="false">
      <c r="A316" s="22"/>
      <c r="B316" s="23"/>
      <c r="C316" s="23"/>
      <c r="D316" s="24"/>
      <c r="E316" s="23"/>
      <c r="F316" s="15" t="str">
        <f aca="false">IF(B316="","",IFERROR(INDEX(Configurações!$B$7:$B$30,MATCH(B316,Configurações!$A$7:$A$30,0)),"?"))</f>
        <v/>
      </c>
      <c r="G316" s="25" t="str">
        <f aca="false">IF(A316="","",A316-WEEKDAY(A316,2)+1)</f>
        <v/>
      </c>
      <c r="H316" s="26" t="str">
        <f aca="false">IF(A316="","",DATE(YEAR(A316),MONTH(A316),1))</f>
        <v/>
      </c>
    </row>
    <row r="317" customFormat="false" ht="15" hidden="false" customHeight="false" outlineLevel="0" collapsed="false">
      <c r="A317" s="22"/>
      <c r="B317" s="23"/>
      <c r="C317" s="23"/>
      <c r="D317" s="24"/>
      <c r="E317" s="23"/>
      <c r="F317" s="15" t="str">
        <f aca="false">IF(B317="","",IFERROR(INDEX(Configurações!$B$7:$B$30,MATCH(B317,Configurações!$A$7:$A$30,0)),"?"))</f>
        <v/>
      </c>
      <c r="G317" s="25" t="str">
        <f aca="false">IF(A317="","",A317-WEEKDAY(A317,2)+1)</f>
        <v/>
      </c>
      <c r="H317" s="26" t="str">
        <f aca="false">IF(A317="","",DATE(YEAR(A317),MONTH(A317),1))</f>
        <v/>
      </c>
    </row>
    <row r="318" customFormat="false" ht="15" hidden="false" customHeight="false" outlineLevel="0" collapsed="false">
      <c r="A318" s="22"/>
      <c r="B318" s="23"/>
      <c r="C318" s="23"/>
      <c r="D318" s="24"/>
      <c r="E318" s="23"/>
      <c r="F318" s="15" t="str">
        <f aca="false">IF(B318="","",IFERROR(INDEX(Configurações!$B$7:$B$30,MATCH(B318,Configurações!$A$7:$A$30,0)),"?"))</f>
        <v/>
      </c>
      <c r="G318" s="25" t="str">
        <f aca="false">IF(A318="","",A318-WEEKDAY(A318,2)+1)</f>
        <v/>
      </c>
      <c r="H318" s="26" t="str">
        <f aca="false">IF(A318="","",DATE(YEAR(A318),MONTH(A318),1))</f>
        <v/>
      </c>
    </row>
    <row r="319" customFormat="false" ht="15" hidden="false" customHeight="false" outlineLevel="0" collapsed="false">
      <c r="A319" s="22"/>
      <c r="B319" s="23"/>
      <c r="C319" s="23"/>
      <c r="D319" s="24"/>
      <c r="E319" s="23"/>
      <c r="F319" s="15" t="str">
        <f aca="false">IF(B319="","",IFERROR(INDEX(Configurações!$B$7:$B$30,MATCH(B319,Configurações!$A$7:$A$30,0)),"?"))</f>
        <v/>
      </c>
      <c r="G319" s="25" t="str">
        <f aca="false">IF(A319="","",A319-WEEKDAY(A319,2)+1)</f>
        <v/>
      </c>
      <c r="H319" s="26" t="str">
        <f aca="false">IF(A319="","",DATE(YEAR(A319),MONTH(A319),1))</f>
        <v/>
      </c>
    </row>
    <row r="320" customFormat="false" ht="15" hidden="false" customHeight="false" outlineLevel="0" collapsed="false">
      <c r="A320" s="22"/>
      <c r="B320" s="23"/>
      <c r="C320" s="23"/>
      <c r="D320" s="24"/>
      <c r="E320" s="23"/>
      <c r="F320" s="15" t="str">
        <f aca="false">IF(B320="","",IFERROR(INDEX(Configurações!$B$7:$B$30,MATCH(B320,Configurações!$A$7:$A$30,0)),"?"))</f>
        <v/>
      </c>
      <c r="G320" s="25" t="str">
        <f aca="false">IF(A320="","",A320-WEEKDAY(A320,2)+1)</f>
        <v/>
      </c>
      <c r="H320" s="26" t="str">
        <f aca="false">IF(A320="","",DATE(YEAR(A320),MONTH(A320),1))</f>
        <v/>
      </c>
    </row>
    <row r="321" customFormat="false" ht="15" hidden="false" customHeight="false" outlineLevel="0" collapsed="false">
      <c r="A321" s="22"/>
      <c r="B321" s="23"/>
      <c r="C321" s="23"/>
      <c r="D321" s="24"/>
      <c r="E321" s="23"/>
      <c r="F321" s="15" t="str">
        <f aca="false">IF(B321="","",IFERROR(INDEX(Configurações!$B$7:$B$30,MATCH(B321,Configurações!$A$7:$A$30,0)),"?"))</f>
        <v/>
      </c>
      <c r="G321" s="25" t="str">
        <f aca="false">IF(A321="","",A321-WEEKDAY(A321,2)+1)</f>
        <v/>
      </c>
      <c r="H321" s="26" t="str">
        <f aca="false">IF(A321="","",DATE(YEAR(A321),MONTH(A321),1))</f>
        <v/>
      </c>
    </row>
    <row r="322" customFormat="false" ht="15" hidden="false" customHeight="false" outlineLevel="0" collapsed="false">
      <c r="A322" s="22"/>
      <c r="B322" s="23"/>
      <c r="C322" s="23"/>
      <c r="D322" s="24"/>
      <c r="E322" s="23"/>
      <c r="F322" s="15" t="str">
        <f aca="false">IF(B322="","",IFERROR(INDEX(Configurações!$B$7:$B$30,MATCH(B322,Configurações!$A$7:$A$30,0)),"?"))</f>
        <v/>
      </c>
      <c r="G322" s="25" t="str">
        <f aca="false">IF(A322="","",A322-WEEKDAY(A322,2)+1)</f>
        <v/>
      </c>
      <c r="H322" s="26" t="str">
        <f aca="false">IF(A322="","",DATE(YEAR(A322),MONTH(A322),1))</f>
        <v/>
      </c>
    </row>
    <row r="323" customFormat="false" ht="15" hidden="false" customHeight="false" outlineLevel="0" collapsed="false">
      <c r="A323" s="22"/>
      <c r="B323" s="23"/>
      <c r="C323" s="23"/>
      <c r="D323" s="24"/>
      <c r="E323" s="23"/>
      <c r="F323" s="15" t="str">
        <f aca="false">IF(B323="","",IFERROR(INDEX(Configurações!$B$7:$B$30,MATCH(B323,Configurações!$A$7:$A$30,0)),"?"))</f>
        <v/>
      </c>
      <c r="G323" s="25" t="str">
        <f aca="false">IF(A323="","",A323-WEEKDAY(A323,2)+1)</f>
        <v/>
      </c>
      <c r="H323" s="26" t="str">
        <f aca="false">IF(A323="","",DATE(YEAR(A323),MONTH(A323),1))</f>
        <v/>
      </c>
    </row>
    <row r="324" customFormat="false" ht="15" hidden="false" customHeight="false" outlineLevel="0" collapsed="false">
      <c r="A324" s="22"/>
      <c r="B324" s="23"/>
      <c r="C324" s="23"/>
      <c r="D324" s="24"/>
      <c r="E324" s="23"/>
      <c r="F324" s="15" t="str">
        <f aca="false">IF(B324="","",IFERROR(INDEX(Configurações!$B$7:$B$30,MATCH(B324,Configurações!$A$7:$A$30,0)),"?"))</f>
        <v/>
      </c>
      <c r="G324" s="25" t="str">
        <f aca="false">IF(A324="","",A324-WEEKDAY(A324,2)+1)</f>
        <v/>
      </c>
      <c r="H324" s="26" t="str">
        <f aca="false">IF(A324="","",DATE(YEAR(A324),MONTH(A324),1))</f>
        <v/>
      </c>
    </row>
    <row r="325" customFormat="false" ht="15" hidden="false" customHeight="false" outlineLevel="0" collapsed="false">
      <c r="A325" s="22"/>
      <c r="B325" s="23"/>
      <c r="C325" s="23"/>
      <c r="D325" s="24"/>
      <c r="E325" s="23"/>
      <c r="F325" s="15" t="str">
        <f aca="false">IF(B325="","",IFERROR(INDEX(Configurações!$B$7:$B$30,MATCH(B325,Configurações!$A$7:$A$30,0)),"?"))</f>
        <v/>
      </c>
      <c r="G325" s="25" t="str">
        <f aca="false">IF(A325="","",A325-WEEKDAY(A325,2)+1)</f>
        <v/>
      </c>
      <c r="H325" s="26" t="str">
        <f aca="false">IF(A325="","",DATE(YEAR(A325),MONTH(A325),1))</f>
        <v/>
      </c>
    </row>
    <row r="326" customFormat="false" ht="15" hidden="false" customHeight="false" outlineLevel="0" collapsed="false">
      <c r="A326" s="22"/>
      <c r="B326" s="23"/>
      <c r="C326" s="23"/>
      <c r="D326" s="24"/>
      <c r="E326" s="23"/>
      <c r="F326" s="15" t="str">
        <f aca="false">IF(B326="","",IFERROR(INDEX(Configurações!$B$7:$B$30,MATCH(B326,Configurações!$A$7:$A$30,0)),"?"))</f>
        <v/>
      </c>
      <c r="G326" s="25" t="str">
        <f aca="false">IF(A326="","",A326-WEEKDAY(A326,2)+1)</f>
        <v/>
      </c>
      <c r="H326" s="26" t="str">
        <f aca="false">IF(A326="","",DATE(YEAR(A326),MONTH(A326),1))</f>
        <v/>
      </c>
    </row>
    <row r="327" customFormat="false" ht="15" hidden="false" customHeight="false" outlineLevel="0" collapsed="false">
      <c r="A327" s="22"/>
      <c r="B327" s="23"/>
      <c r="C327" s="23"/>
      <c r="D327" s="24"/>
      <c r="E327" s="23"/>
      <c r="F327" s="15" t="str">
        <f aca="false">IF(B327="","",IFERROR(INDEX(Configurações!$B$7:$B$30,MATCH(B327,Configurações!$A$7:$A$30,0)),"?"))</f>
        <v/>
      </c>
      <c r="G327" s="25" t="str">
        <f aca="false">IF(A327="","",A327-WEEKDAY(A327,2)+1)</f>
        <v/>
      </c>
      <c r="H327" s="26" t="str">
        <f aca="false">IF(A327="","",DATE(YEAR(A327),MONTH(A327),1))</f>
        <v/>
      </c>
    </row>
    <row r="328" customFormat="false" ht="15" hidden="false" customHeight="false" outlineLevel="0" collapsed="false">
      <c r="A328" s="22"/>
      <c r="B328" s="23"/>
      <c r="C328" s="23"/>
      <c r="D328" s="24"/>
      <c r="E328" s="23"/>
      <c r="F328" s="15" t="str">
        <f aca="false">IF(B328="","",IFERROR(INDEX(Configurações!$B$7:$B$30,MATCH(B328,Configurações!$A$7:$A$30,0)),"?"))</f>
        <v/>
      </c>
      <c r="G328" s="25" t="str">
        <f aca="false">IF(A328="","",A328-WEEKDAY(A328,2)+1)</f>
        <v/>
      </c>
      <c r="H328" s="26" t="str">
        <f aca="false">IF(A328="","",DATE(YEAR(A328),MONTH(A328),1))</f>
        <v/>
      </c>
    </row>
    <row r="329" customFormat="false" ht="15" hidden="false" customHeight="false" outlineLevel="0" collapsed="false">
      <c r="A329" s="22"/>
      <c r="B329" s="23"/>
      <c r="C329" s="23"/>
      <c r="D329" s="24"/>
      <c r="E329" s="23"/>
      <c r="F329" s="15" t="str">
        <f aca="false">IF(B329="","",IFERROR(INDEX(Configurações!$B$7:$B$30,MATCH(B329,Configurações!$A$7:$A$30,0)),"?"))</f>
        <v/>
      </c>
      <c r="G329" s="25" t="str">
        <f aca="false">IF(A329="","",A329-WEEKDAY(A329,2)+1)</f>
        <v/>
      </c>
      <c r="H329" s="26" t="str">
        <f aca="false">IF(A329="","",DATE(YEAR(A329),MONTH(A329),1))</f>
        <v/>
      </c>
    </row>
    <row r="330" customFormat="false" ht="15" hidden="false" customHeight="false" outlineLevel="0" collapsed="false">
      <c r="A330" s="22"/>
      <c r="B330" s="23"/>
      <c r="C330" s="23"/>
      <c r="D330" s="24"/>
      <c r="E330" s="23"/>
      <c r="F330" s="15" t="str">
        <f aca="false">IF(B330="","",IFERROR(INDEX(Configurações!$B$7:$B$30,MATCH(B330,Configurações!$A$7:$A$30,0)),"?"))</f>
        <v/>
      </c>
      <c r="G330" s="25" t="str">
        <f aca="false">IF(A330="","",A330-WEEKDAY(A330,2)+1)</f>
        <v/>
      </c>
      <c r="H330" s="26" t="str">
        <f aca="false">IF(A330="","",DATE(YEAR(A330),MONTH(A330),1))</f>
        <v/>
      </c>
    </row>
    <row r="331" customFormat="false" ht="15" hidden="false" customHeight="false" outlineLevel="0" collapsed="false">
      <c r="A331" s="22"/>
      <c r="B331" s="23"/>
      <c r="C331" s="23"/>
      <c r="D331" s="24"/>
      <c r="E331" s="23"/>
      <c r="F331" s="15" t="str">
        <f aca="false">IF(B331="","",IFERROR(INDEX(Configurações!$B$7:$B$30,MATCH(B331,Configurações!$A$7:$A$30,0)),"?"))</f>
        <v/>
      </c>
      <c r="G331" s="25" t="str">
        <f aca="false">IF(A331="","",A331-WEEKDAY(A331,2)+1)</f>
        <v/>
      </c>
      <c r="H331" s="26" t="str">
        <f aca="false">IF(A331="","",DATE(YEAR(A331),MONTH(A331),1))</f>
        <v/>
      </c>
    </row>
    <row r="332" customFormat="false" ht="15" hidden="false" customHeight="false" outlineLevel="0" collapsed="false">
      <c r="A332" s="22"/>
      <c r="B332" s="23"/>
      <c r="C332" s="23"/>
      <c r="D332" s="24"/>
      <c r="E332" s="23"/>
      <c r="F332" s="15" t="str">
        <f aca="false">IF(B332="","",IFERROR(INDEX(Configurações!$B$7:$B$30,MATCH(B332,Configurações!$A$7:$A$30,0)),"?"))</f>
        <v/>
      </c>
      <c r="G332" s="25" t="str">
        <f aca="false">IF(A332="","",A332-WEEKDAY(A332,2)+1)</f>
        <v/>
      </c>
      <c r="H332" s="26" t="str">
        <f aca="false">IF(A332="","",DATE(YEAR(A332),MONTH(A332),1))</f>
        <v/>
      </c>
    </row>
    <row r="333" customFormat="false" ht="15" hidden="false" customHeight="false" outlineLevel="0" collapsed="false">
      <c r="A333" s="22"/>
      <c r="B333" s="23"/>
      <c r="C333" s="23"/>
      <c r="D333" s="24"/>
      <c r="E333" s="23"/>
      <c r="F333" s="15" t="str">
        <f aca="false">IF(B333="","",IFERROR(INDEX(Configurações!$B$7:$B$30,MATCH(B333,Configurações!$A$7:$A$30,0)),"?"))</f>
        <v/>
      </c>
      <c r="G333" s="25" t="str">
        <f aca="false">IF(A333="","",A333-WEEKDAY(A333,2)+1)</f>
        <v/>
      </c>
      <c r="H333" s="26" t="str">
        <f aca="false">IF(A333="","",DATE(YEAR(A333),MONTH(A333),1))</f>
        <v/>
      </c>
    </row>
    <row r="334" customFormat="false" ht="15" hidden="false" customHeight="false" outlineLevel="0" collapsed="false">
      <c r="A334" s="22"/>
      <c r="B334" s="23"/>
      <c r="C334" s="23"/>
      <c r="D334" s="24"/>
      <c r="E334" s="23"/>
      <c r="F334" s="15" t="str">
        <f aca="false">IF(B334="","",IFERROR(INDEX(Configurações!$B$7:$B$30,MATCH(B334,Configurações!$A$7:$A$30,0)),"?"))</f>
        <v/>
      </c>
      <c r="G334" s="25" t="str">
        <f aca="false">IF(A334="","",A334-WEEKDAY(A334,2)+1)</f>
        <v/>
      </c>
      <c r="H334" s="26" t="str">
        <f aca="false">IF(A334="","",DATE(YEAR(A334),MONTH(A334),1))</f>
        <v/>
      </c>
    </row>
    <row r="335" customFormat="false" ht="15" hidden="false" customHeight="false" outlineLevel="0" collapsed="false">
      <c r="A335" s="22"/>
      <c r="B335" s="23"/>
      <c r="C335" s="23"/>
      <c r="D335" s="24"/>
      <c r="E335" s="23"/>
      <c r="F335" s="15" t="str">
        <f aca="false">IF(B335="","",IFERROR(INDEX(Configurações!$B$7:$B$30,MATCH(B335,Configurações!$A$7:$A$30,0)),"?"))</f>
        <v/>
      </c>
      <c r="G335" s="25" t="str">
        <f aca="false">IF(A335="","",A335-WEEKDAY(A335,2)+1)</f>
        <v/>
      </c>
      <c r="H335" s="26" t="str">
        <f aca="false">IF(A335="","",DATE(YEAR(A335),MONTH(A335),1))</f>
        <v/>
      </c>
    </row>
    <row r="336" customFormat="false" ht="15" hidden="false" customHeight="false" outlineLevel="0" collapsed="false">
      <c r="A336" s="22"/>
      <c r="B336" s="23"/>
      <c r="C336" s="23"/>
      <c r="D336" s="24"/>
      <c r="E336" s="23"/>
      <c r="F336" s="15" t="str">
        <f aca="false">IF(B336="","",IFERROR(INDEX(Configurações!$B$7:$B$30,MATCH(B336,Configurações!$A$7:$A$30,0)),"?"))</f>
        <v/>
      </c>
      <c r="G336" s="25" t="str">
        <f aca="false">IF(A336="","",A336-WEEKDAY(A336,2)+1)</f>
        <v/>
      </c>
      <c r="H336" s="26" t="str">
        <f aca="false">IF(A336="","",DATE(YEAR(A336),MONTH(A336),1))</f>
        <v/>
      </c>
    </row>
    <row r="337" customFormat="false" ht="15" hidden="false" customHeight="false" outlineLevel="0" collapsed="false">
      <c r="A337" s="22"/>
      <c r="B337" s="23"/>
      <c r="C337" s="23"/>
      <c r="D337" s="24"/>
      <c r="E337" s="23"/>
      <c r="F337" s="15" t="str">
        <f aca="false">IF(B337="","",IFERROR(INDEX(Configurações!$B$7:$B$30,MATCH(B337,Configurações!$A$7:$A$30,0)),"?"))</f>
        <v/>
      </c>
      <c r="G337" s="25" t="str">
        <f aca="false">IF(A337="","",A337-WEEKDAY(A337,2)+1)</f>
        <v/>
      </c>
      <c r="H337" s="26" t="str">
        <f aca="false">IF(A337="","",DATE(YEAR(A337),MONTH(A337),1))</f>
        <v/>
      </c>
    </row>
    <row r="338" customFormat="false" ht="15" hidden="false" customHeight="false" outlineLevel="0" collapsed="false">
      <c r="A338" s="22"/>
      <c r="B338" s="23"/>
      <c r="C338" s="23"/>
      <c r="D338" s="24"/>
      <c r="E338" s="23"/>
      <c r="F338" s="15" t="str">
        <f aca="false">IF(B338="","",IFERROR(INDEX(Configurações!$B$7:$B$30,MATCH(B338,Configurações!$A$7:$A$30,0)),"?"))</f>
        <v/>
      </c>
      <c r="G338" s="25" t="str">
        <f aca="false">IF(A338="","",A338-WEEKDAY(A338,2)+1)</f>
        <v/>
      </c>
      <c r="H338" s="26" t="str">
        <f aca="false">IF(A338="","",DATE(YEAR(A338),MONTH(A338),1))</f>
        <v/>
      </c>
    </row>
    <row r="339" customFormat="false" ht="15" hidden="false" customHeight="false" outlineLevel="0" collapsed="false">
      <c r="A339" s="22"/>
      <c r="B339" s="23"/>
      <c r="C339" s="23"/>
      <c r="D339" s="24"/>
      <c r="E339" s="23"/>
      <c r="F339" s="15" t="str">
        <f aca="false">IF(B339="","",IFERROR(INDEX(Configurações!$B$7:$B$30,MATCH(B339,Configurações!$A$7:$A$30,0)),"?"))</f>
        <v/>
      </c>
      <c r="G339" s="25" t="str">
        <f aca="false">IF(A339="","",A339-WEEKDAY(A339,2)+1)</f>
        <v/>
      </c>
      <c r="H339" s="26" t="str">
        <f aca="false">IF(A339="","",DATE(YEAR(A339),MONTH(A339),1))</f>
        <v/>
      </c>
    </row>
    <row r="340" customFormat="false" ht="15" hidden="false" customHeight="false" outlineLevel="0" collapsed="false">
      <c r="A340" s="22"/>
      <c r="B340" s="23"/>
      <c r="C340" s="23"/>
      <c r="D340" s="24"/>
      <c r="E340" s="23"/>
      <c r="F340" s="15" t="str">
        <f aca="false">IF(B340="","",IFERROR(INDEX(Configurações!$B$7:$B$30,MATCH(B340,Configurações!$A$7:$A$30,0)),"?"))</f>
        <v/>
      </c>
      <c r="G340" s="25" t="str">
        <f aca="false">IF(A340="","",A340-WEEKDAY(A340,2)+1)</f>
        <v/>
      </c>
      <c r="H340" s="26" t="str">
        <f aca="false">IF(A340="","",DATE(YEAR(A340),MONTH(A340),1))</f>
        <v/>
      </c>
    </row>
    <row r="341" customFormat="false" ht="15" hidden="false" customHeight="false" outlineLevel="0" collapsed="false">
      <c r="A341" s="22"/>
      <c r="B341" s="23"/>
      <c r="C341" s="23"/>
      <c r="D341" s="24"/>
      <c r="E341" s="23"/>
      <c r="F341" s="15" t="str">
        <f aca="false">IF(B341="","",IFERROR(INDEX(Configurações!$B$7:$B$30,MATCH(B341,Configurações!$A$7:$A$30,0)),"?"))</f>
        <v/>
      </c>
      <c r="G341" s="25" t="str">
        <f aca="false">IF(A341="","",A341-WEEKDAY(A341,2)+1)</f>
        <v/>
      </c>
      <c r="H341" s="26" t="str">
        <f aca="false">IF(A341="","",DATE(YEAR(A341),MONTH(A341),1))</f>
        <v/>
      </c>
    </row>
    <row r="342" customFormat="false" ht="15" hidden="false" customHeight="false" outlineLevel="0" collapsed="false">
      <c r="A342" s="22"/>
      <c r="B342" s="23"/>
      <c r="C342" s="23"/>
      <c r="D342" s="24"/>
      <c r="E342" s="23"/>
      <c r="F342" s="15" t="str">
        <f aca="false">IF(B342="","",IFERROR(INDEX(Configurações!$B$7:$B$30,MATCH(B342,Configurações!$A$7:$A$30,0)),"?"))</f>
        <v/>
      </c>
      <c r="G342" s="25" t="str">
        <f aca="false">IF(A342="","",A342-WEEKDAY(A342,2)+1)</f>
        <v/>
      </c>
      <c r="H342" s="26" t="str">
        <f aca="false">IF(A342="","",DATE(YEAR(A342),MONTH(A342),1))</f>
        <v/>
      </c>
    </row>
    <row r="343" customFormat="false" ht="15" hidden="false" customHeight="false" outlineLevel="0" collapsed="false">
      <c r="A343" s="22"/>
      <c r="B343" s="23"/>
      <c r="C343" s="23"/>
      <c r="D343" s="24"/>
      <c r="E343" s="23"/>
      <c r="F343" s="15" t="str">
        <f aca="false">IF(B343="","",IFERROR(INDEX(Configurações!$B$7:$B$30,MATCH(B343,Configurações!$A$7:$A$30,0)),"?"))</f>
        <v/>
      </c>
      <c r="G343" s="25" t="str">
        <f aca="false">IF(A343="","",A343-WEEKDAY(A343,2)+1)</f>
        <v/>
      </c>
      <c r="H343" s="26" t="str">
        <f aca="false">IF(A343="","",DATE(YEAR(A343),MONTH(A343),1))</f>
        <v/>
      </c>
    </row>
    <row r="344" customFormat="false" ht="15" hidden="false" customHeight="false" outlineLevel="0" collapsed="false">
      <c r="A344" s="22"/>
      <c r="B344" s="23"/>
      <c r="C344" s="23"/>
      <c r="D344" s="24"/>
      <c r="E344" s="23"/>
      <c r="F344" s="15" t="str">
        <f aca="false">IF(B344="","",IFERROR(INDEX(Configurações!$B$7:$B$30,MATCH(B344,Configurações!$A$7:$A$30,0)),"?"))</f>
        <v/>
      </c>
      <c r="G344" s="25" t="str">
        <f aca="false">IF(A344="","",A344-WEEKDAY(A344,2)+1)</f>
        <v/>
      </c>
      <c r="H344" s="26" t="str">
        <f aca="false">IF(A344="","",DATE(YEAR(A344),MONTH(A344),1))</f>
        <v/>
      </c>
    </row>
    <row r="345" customFormat="false" ht="15" hidden="false" customHeight="false" outlineLevel="0" collapsed="false">
      <c r="A345" s="22"/>
      <c r="B345" s="23"/>
      <c r="C345" s="23"/>
      <c r="D345" s="24"/>
      <c r="E345" s="23"/>
      <c r="F345" s="15" t="str">
        <f aca="false">IF(B345="","",IFERROR(INDEX(Configurações!$B$7:$B$30,MATCH(B345,Configurações!$A$7:$A$30,0)),"?"))</f>
        <v/>
      </c>
      <c r="G345" s="25" t="str">
        <f aca="false">IF(A345="","",A345-WEEKDAY(A345,2)+1)</f>
        <v/>
      </c>
      <c r="H345" s="26" t="str">
        <f aca="false">IF(A345="","",DATE(YEAR(A345),MONTH(A345),1))</f>
        <v/>
      </c>
    </row>
    <row r="346" customFormat="false" ht="15" hidden="false" customHeight="false" outlineLevel="0" collapsed="false">
      <c r="A346" s="22"/>
      <c r="B346" s="23"/>
      <c r="C346" s="23"/>
      <c r="D346" s="24"/>
      <c r="E346" s="23"/>
      <c r="F346" s="15" t="str">
        <f aca="false">IF(B346="","",IFERROR(INDEX(Configurações!$B$7:$B$30,MATCH(B346,Configurações!$A$7:$A$30,0)),"?"))</f>
        <v/>
      </c>
      <c r="G346" s="25" t="str">
        <f aca="false">IF(A346="","",A346-WEEKDAY(A346,2)+1)</f>
        <v/>
      </c>
      <c r="H346" s="26" t="str">
        <f aca="false">IF(A346="","",DATE(YEAR(A346),MONTH(A346),1))</f>
        <v/>
      </c>
    </row>
    <row r="347" customFormat="false" ht="15" hidden="false" customHeight="false" outlineLevel="0" collapsed="false">
      <c r="A347" s="22"/>
      <c r="B347" s="23"/>
      <c r="C347" s="23"/>
      <c r="D347" s="24"/>
      <c r="E347" s="23"/>
      <c r="F347" s="15" t="str">
        <f aca="false">IF(B347="","",IFERROR(INDEX(Configurações!$B$7:$B$30,MATCH(B347,Configurações!$A$7:$A$30,0)),"?"))</f>
        <v/>
      </c>
      <c r="G347" s="25" t="str">
        <f aca="false">IF(A347="","",A347-WEEKDAY(A347,2)+1)</f>
        <v/>
      </c>
      <c r="H347" s="26" t="str">
        <f aca="false">IF(A347="","",DATE(YEAR(A347),MONTH(A347),1))</f>
        <v/>
      </c>
    </row>
    <row r="348" customFormat="false" ht="15" hidden="false" customHeight="false" outlineLevel="0" collapsed="false">
      <c r="A348" s="22"/>
      <c r="B348" s="23"/>
      <c r="C348" s="23"/>
      <c r="D348" s="24"/>
      <c r="E348" s="23"/>
      <c r="F348" s="15" t="str">
        <f aca="false">IF(B348="","",IFERROR(INDEX(Configurações!$B$7:$B$30,MATCH(B348,Configurações!$A$7:$A$30,0)),"?"))</f>
        <v/>
      </c>
      <c r="G348" s="25" t="str">
        <f aca="false">IF(A348="","",A348-WEEKDAY(A348,2)+1)</f>
        <v/>
      </c>
      <c r="H348" s="26" t="str">
        <f aca="false">IF(A348="","",DATE(YEAR(A348),MONTH(A348),1))</f>
        <v/>
      </c>
    </row>
    <row r="349" customFormat="false" ht="15" hidden="false" customHeight="false" outlineLevel="0" collapsed="false">
      <c r="A349" s="22"/>
      <c r="B349" s="23"/>
      <c r="C349" s="23"/>
      <c r="D349" s="24"/>
      <c r="E349" s="23"/>
      <c r="F349" s="15" t="str">
        <f aca="false">IF(B349="","",IFERROR(INDEX(Configurações!$B$7:$B$30,MATCH(B349,Configurações!$A$7:$A$30,0)),"?"))</f>
        <v/>
      </c>
      <c r="G349" s="25" t="str">
        <f aca="false">IF(A349="","",A349-WEEKDAY(A349,2)+1)</f>
        <v/>
      </c>
      <c r="H349" s="26" t="str">
        <f aca="false">IF(A349="","",DATE(YEAR(A349),MONTH(A349),1))</f>
        <v/>
      </c>
    </row>
    <row r="350" customFormat="false" ht="15" hidden="false" customHeight="false" outlineLevel="0" collapsed="false">
      <c r="A350" s="22"/>
      <c r="B350" s="23"/>
      <c r="C350" s="23"/>
      <c r="D350" s="24"/>
      <c r="E350" s="23"/>
      <c r="F350" s="15" t="str">
        <f aca="false">IF(B350="","",IFERROR(INDEX(Configurações!$B$7:$B$30,MATCH(B350,Configurações!$A$7:$A$30,0)),"?"))</f>
        <v/>
      </c>
      <c r="G350" s="25" t="str">
        <f aca="false">IF(A350="","",A350-WEEKDAY(A350,2)+1)</f>
        <v/>
      </c>
      <c r="H350" s="26" t="str">
        <f aca="false">IF(A350="","",DATE(YEAR(A350),MONTH(A350),1))</f>
        <v/>
      </c>
    </row>
    <row r="351" customFormat="false" ht="15" hidden="false" customHeight="false" outlineLevel="0" collapsed="false">
      <c r="A351" s="22"/>
      <c r="B351" s="23"/>
      <c r="C351" s="23"/>
      <c r="D351" s="24"/>
      <c r="E351" s="23"/>
      <c r="F351" s="15" t="str">
        <f aca="false">IF(B351="","",IFERROR(INDEX(Configurações!$B$7:$B$30,MATCH(B351,Configurações!$A$7:$A$30,0)),"?"))</f>
        <v/>
      </c>
      <c r="G351" s="25" t="str">
        <f aca="false">IF(A351="","",A351-WEEKDAY(A351,2)+1)</f>
        <v/>
      </c>
      <c r="H351" s="26" t="str">
        <f aca="false">IF(A351="","",DATE(YEAR(A351),MONTH(A351),1))</f>
        <v/>
      </c>
    </row>
    <row r="352" customFormat="false" ht="15" hidden="false" customHeight="false" outlineLevel="0" collapsed="false">
      <c r="A352" s="22"/>
      <c r="B352" s="23"/>
      <c r="C352" s="23"/>
      <c r="D352" s="24"/>
      <c r="E352" s="23"/>
      <c r="F352" s="15" t="str">
        <f aca="false">IF(B352="","",IFERROR(INDEX(Configurações!$B$7:$B$30,MATCH(B352,Configurações!$A$7:$A$30,0)),"?"))</f>
        <v/>
      </c>
      <c r="G352" s="25" t="str">
        <f aca="false">IF(A352="","",A352-WEEKDAY(A352,2)+1)</f>
        <v/>
      </c>
      <c r="H352" s="26" t="str">
        <f aca="false">IF(A352="","",DATE(YEAR(A352),MONTH(A352),1))</f>
        <v/>
      </c>
    </row>
    <row r="353" customFormat="false" ht="15" hidden="false" customHeight="false" outlineLevel="0" collapsed="false">
      <c r="A353" s="22"/>
      <c r="B353" s="23"/>
      <c r="C353" s="23"/>
      <c r="D353" s="24"/>
      <c r="E353" s="23"/>
      <c r="F353" s="15" t="str">
        <f aca="false">IF(B353="","",IFERROR(INDEX(Configurações!$B$7:$B$30,MATCH(B353,Configurações!$A$7:$A$30,0)),"?"))</f>
        <v/>
      </c>
      <c r="G353" s="25" t="str">
        <f aca="false">IF(A353="","",A353-WEEKDAY(A353,2)+1)</f>
        <v/>
      </c>
      <c r="H353" s="26" t="str">
        <f aca="false">IF(A353="","",DATE(YEAR(A353),MONTH(A353),1))</f>
        <v/>
      </c>
    </row>
    <row r="354" customFormat="false" ht="15" hidden="false" customHeight="false" outlineLevel="0" collapsed="false">
      <c r="A354" s="22"/>
      <c r="B354" s="23"/>
      <c r="C354" s="23"/>
      <c r="D354" s="24"/>
      <c r="E354" s="23"/>
      <c r="F354" s="15" t="str">
        <f aca="false">IF(B354="","",IFERROR(INDEX(Configurações!$B$7:$B$30,MATCH(B354,Configurações!$A$7:$A$30,0)),"?"))</f>
        <v/>
      </c>
      <c r="G354" s="25" t="str">
        <f aca="false">IF(A354="","",A354-WEEKDAY(A354,2)+1)</f>
        <v/>
      </c>
      <c r="H354" s="26" t="str">
        <f aca="false">IF(A354="","",DATE(YEAR(A354),MONTH(A354),1))</f>
        <v/>
      </c>
    </row>
    <row r="355" customFormat="false" ht="15" hidden="false" customHeight="false" outlineLevel="0" collapsed="false">
      <c r="A355" s="22"/>
      <c r="B355" s="23"/>
      <c r="C355" s="23"/>
      <c r="D355" s="24"/>
      <c r="E355" s="23"/>
      <c r="F355" s="15" t="str">
        <f aca="false">IF(B355="","",IFERROR(INDEX(Configurações!$B$7:$B$30,MATCH(B355,Configurações!$A$7:$A$30,0)),"?"))</f>
        <v/>
      </c>
      <c r="G355" s="25" t="str">
        <f aca="false">IF(A355="","",A355-WEEKDAY(A355,2)+1)</f>
        <v/>
      </c>
      <c r="H355" s="26" t="str">
        <f aca="false">IF(A355="","",DATE(YEAR(A355),MONTH(A355),1))</f>
        <v/>
      </c>
    </row>
    <row r="356" customFormat="false" ht="15" hidden="false" customHeight="false" outlineLevel="0" collapsed="false">
      <c r="A356" s="22"/>
      <c r="B356" s="23"/>
      <c r="C356" s="23"/>
      <c r="D356" s="24"/>
      <c r="E356" s="23"/>
      <c r="F356" s="15" t="str">
        <f aca="false">IF(B356="","",IFERROR(INDEX(Configurações!$B$7:$B$30,MATCH(B356,Configurações!$A$7:$A$30,0)),"?"))</f>
        <v/>
      </c>
      <c r="G356" s="25" t="str">
        <f aca="false">IF(A356="","",A356-WEEKDAY(A356,2)+1)</f>
        <v/>
      </c>
      <c r="H356" s="26" t="str">
        <f aca="false">IF(A356="","",DATE(YEAR(A356),MONTH(A356),1))</f>
        <v/>
      </c>
    </row>
    <row r="357" customFormat="false" ht="15" hidden="false" customHeight="false" outlineLevel="0" collapsed="false">
      <c r="A357" s="22"/>
      <c r="B357" s="23"/>
      <c r="C357" s="23"/>
      <c r="D357" s="24"/>
      <c r="E357" s="23"/>
      <c r="F357" s="15" t="str">
        <f aca="false">IF(B357="","",IFERROR(INDEX(Configurações!$B$7:$B$30,MATCH(B357,Configurações!$A$7:$A$30,0)),"?"))</f>
        <v/>
      </c>
      <c r="G357" s="25" t="str">
        <f aca="false">IF(A357="","",A357-WEEKDAY(A357,2)+1)</f>
        <v/>
      </c>
      <c r="H357" s="26" t="str">
        <f aca="false">IF(A357="","",DATE(YEAR(A357),MONTH(A357),1))</f>
        <v/>
      </c>
    </row>
    <row r="358" customFormat="false" ht="15" hidden="false" customHeight="false" outlineLevel="0" collapsed="false">
      <c r="A358" s="22"/>
      <c r="B358" s="23"/>
      <c r="C358" s="23"/>
      <c r="D358" s="24"/>
      <c r="E358" s="23"/>
      <c r="F358" s="15" t="str">
        <f aca="false">IF(B358="","",IFERROR(INDEX(Configurações!$B$7:$B$30,MATCH(B358,Configurações!$A$7:$A$30,0)),"?"))</f>
        <v/>
      </c>
      <c r="G358" s="25" t="str">
        <f aca="false">IF(A358="","",A358-WEEKDAY(A358,2)+1)</f>
        <v/>
      </c>
      <c r="H358" s="26" t="str">
        <f aca="false">IF(A358="","",DATE(YEAR(A358),MONTH(A358),1))</f>
        <v/>
      </c>
    </row>
    <row r="359" customFormat="false" ht="15" hidden="false" customHeight="false" outlineLevel="0" collapsed="false">
      <c r="A359" s="22"/>
      <c r="B359" s="23"/>
      <c r="C359" s="23"/>
      <c r="D359" s="24"/>
      <c r="E359" s="23"/>
      <c r="F359" s="15" t="str">
        <f aca="false">IF(B359="","",IFERROR(INDEX(Configurações!$B$7:$B$30,MATCH(B359,Configurações!$A$7:$A$30,0)),"?"))</f>
        <v/>
      </c>
      <c r="G359" s="25" t="str">
        <f aca="false">IF(A359="","",A359-WEEKDAY(A359,2)+1)</f>
        <v/>
      </c>
      <c r="H359" s="26" t="str">
        <f aca="false">IF(A359="","",DATE(YEAR(A359),MONTH(A359),1))</f>
        <v/>
      </c>
    </row>
    <row r="360" customFormat="false" ht="15" hidden="false" customHeight="false" outlineLevel="0" collapsed="false">
      <c r="A360" s="22"/>
      <c r="B360" s="23"/>
      <c r="C360" s="23"/>
      <c r="D360" s="24"/>
      <c r="E360" s="23"/>
      <c r="F360" s="15" t="str">
        <f aca="false">IF(B360="","",IFERROR(INDEX(Configurações!$B$7:$B$30,MATCH(B360,Configurações!$A$7:$A$30,0)),"?"))</f>
        <v/>
      </c>
      <c r="G360" s="25" t="str">
        <f aca="false">IF(A360="","",A360-WEEKDAY(A360,2)+1)</f>
        <v/>
      </c>
      <c r="H360" s="26" t="str">
        <f aca="false">IF(A360="","",DATE(YEAR(A360),MONTH(A360),1))</f>
        <v/>
      </c>
    </row>
    <row r="361" customFormat="false" ht="15" hidden="false" customHeight="false" outlineLevel="0" collapsed="false">
      <c r="A361" s="22"/>
      <c r="B361" s="23"/>
      <c r="C361" s="23"/>
      <c r="D361" s="24"/>
      <c r="E361" s="23"/>
      <c r="F361" s="15" t="str">
        <f aca="false">IF(B361="","",IFERROR(INDEX(Configurações!$B$7:$B$30,MATCH(B361,Configurações!$A$7:$A$30,0)),"?"))</f>
        <v/>
      </c>
      <c r="G361" s="25" t="str">
        <f aca="false">IF(A361="","",A361-WEEKDAY(A361,2)+1)</f>
        <v/>
      </c>
      <c r="H361" s="26" t="str">
        <f aca="false">IF(A361="","",DATE(YEAR(A361),MONTH(A361),1))</f>
        <v/>
      </c>
    </row>
    <row r="362" customFormat="false" ht="15" hidden="false" customHeight="false" outlineLevel="0" collapsed="false">
      <c r="A362" s="22"/>
      <c r="B362" s="23"/>
      <c r="C362" s="23"/>
      <c r="D362" s="24"/>
      <c r="E362" s="23"/>
      <c r="F362" s="15" t="str">
        <f aca="false">IF(B362="","",IFERROR(INDEX(Configurações!$B$7:$B$30,MATCH(B362,Configurações!$A$7:$A$30,0)),"?"))</f>
        <v/>
      </c>
      <c r="G362" s="25" t="str">
        <f aca="false">IF(A362="","",A362-WEEKDAY(A362,2)+1)</f>
        <v/>
      </c>
      <c r="H362" s="26" t="str">
        <f aca="false">IF(A362="","",DATE(YEAR(A362),MONTH(A362),1))</f>
        <v/>
      </c>
    </row>
    <row r="363" customFormat="false" ht="15" hidden="false" customHeight="false" outlineLevel="0" collapsed="false">
      <c r="A363" s="22"/>
      <c r="B363" s="23"/>
      <c r="C363" s="23"/>
      <c r="D363" s="24"/>
      <c r="E363" s="23"/>
      <c r="F363" s="15" t="str">
        <f aca="false">IF(B363="","",IFERROR(INDEX(Configurações!$B$7:$B$30,MATCH(B363,Configurações!$A$7:$A$30,0)),"?"))</f>
        <v/>
      </c>
      <c r="G363" s="25" t="str">
        <f aca="false">IF(A363="","",A363-WEEKDAY(A363,2)+1)</f>
        <v/>
      </c>
      <c r="H363" s="26" t="str">
        <f aca="false">IF(A363="","",DATE(YEAR(A363),MONTH(A363),1))</f>
        <v/>
      </c>
    </row>
    <row r="364" customFormat="false" ht="15" hidden="false" customHeight="false" outlineLevel="0" collapsed="false">
      <c r="A364" s="22"/>
      <c r="B364" s="23"/>
      <c r="C364" s="23"/>
      <c r="D364" s="24"/>
      <c r="E364" s="23"/>
      <c r="F364" s="15" t="str">
        <f aca="false">IF(B364="","",IFERROR(INDEX(Configurações!$B$7:$B$30,MATCH(B364,Configurações!$A$7:$A$30,0)),"?"))</f>
        <v/>
      </c>
      <c r="G364" s="25" t="str">
        <f aca="false">IF(A364="","",A364-WEEKDAY(A364,2)+1)</f>
        <v/>
      </c>
      <c r="H364" s="26" t="str">
        <f aca="false">IF(A364="","",DATE(YEAR(A364),MONTH(A364),1))</f>
        <v/>
      </c>
    </row>
    <row r="365" customFormat="false" ht="15" hidden="false" customHeight="false" outlineLevel="0" collapsed="false">
      <c r="A365" s="22"/>
      <c r="B365" s="23"/>
      <c r="C365" s="23"/>
      <c r="D365" s="24"/>
      <c r="E365" s="23"/>
      <c r="F365" s="15" t="str">
        <f aca="false">IF(B365="","",IFERROR(INDEX(Configurações!$B$7:$B$30,MATCH(B365,Configurações!$A$7:$A$30,0)),"?"))</f>
        <v/>
      </c>
      <c r="G365" s="25" t="str">
        <f aca="false">IF(A365="","",A365-WEEKDAY(A365,2)+1)</f>
        <v/>
      </c>
      <c r="H365" s="26" t="str">
        <f aca="false">IF(A365="","",DATE(YEAR(A365),MONTH(A365),1))</f>
        <v/>
      </c>
    </row>
    <row r="366" customFormat="false" ht="15" hidden="false" customHeight="false" outlineLevel="0" collapsed="false">
      <c r="A366" s="22"/>
      <c r="B366" s="23"/>
      <c r="C366" s="23"/>
      <c r="D366" s="24"/>
      <c r="E366" s="23"/>
      <c r="F366" s="15" t="str">
        <f aca="false">IF(B366="","",IFERROR(INDEX(Configurações!$B$7:$B$30,MATCH(B366,Configurações!$A$7:$A$30,0)),"?"))</f>
        <v/>
      </c>
      <c r="G366" s="25" t="str">
        <f aca="false">IF(A366="","",A366-WEEKDAY(A366,2)+1)</f>
        <v/>
      </c>
      <c r="H366" s="26" t="str">
        <f aca="false">IF(A366="","",DATE(YEAR(A366),MONTH(A366),1))</f>
        <v/>
      </c>
    </row>
    <row r="367" customFormat="false" ht="15" hidden="false" customHeight="false" outlineLevel="0" collapsed="false">
      <c r="A367" s="22"/>
      <c r="B367" s="23"/>
      <c r="C367" s="23"/>
      <c r="D367" s="24"/>
      <c r="E367" s="23"/>
      <c r="F367" s="15" t="str">
        <f aca="false">IF(B367="","",IFERROR(INDEX(Configurações!$B$7:$B$30,MATCH(B367,Configurações!$A$7:$A$30,0)),"?"))</f>
        <v/>
      </c>
      <c r="G367" s="25" t="str">
        <f aca="false">IF(A367="","",A367-WEEKDAY(A367,2)+1)</f>
        <v/>
      </c>
      <c r="H367" s="26" t="str">
        <f aca="false">IF(A367="","",DATE(YEAR(A367),MONTH(A367),1))</f>
        <v/>
      </c>
    </row>
    <row r="368" customFormat="false" ht="15" hidden="false" customHeight="false" outlineLevel="0" collapsed="false">
      <c r="A368" s="22"/>
      <c r="B368" s="23"/>
      <c r="C368" s="23"/>
      <c r="D368" s="24"/>
      <c r="E368" s="23"/>
      <c r="F368" s="15" t="str">
        <f aca="false">IF(B368="","",IFERROR(INDEX(Configurações!$B$7:$B$30,MATCH(B368,Configurações!$A$7:$A$30,0)),"?"))</f>
        <v/>
      </c>
      <c r="G368" s="25" t="str">
        <f aca="false">IF(A368="","",A368-WEEKDAY(A368,2)+1)</f>
        <v/>
      </c>
      <c r="H368" s="26" t="str">
        <f aca="false">IF(A368="","",DATE(YEAR(A368),MONTH(A368),1))</f>
        <v/>
      </c>
    </row>
    <row r="369" customFormat="false" ht="15" hidden="false" customHeight="false" outlineLevel="0" collapsed="false">
      <c r="A369" s="22"/>
      <c r="B369" s="23"/>
      <c r="C369" s="23"/>
      <c r="D369" s="24"/>
      <c r="E369" s="23"/>
      <c r="F369" s="15" t="str">
        <f aca="false">IF(B369="","",IFERROR(INDEX(Configurações!$B$7:$B$30,MATCH(B369,Configurações!$A$7:$A$30,0)),"?"))</f>
        <v/>
      </c>
      <c r="G369" s="25" t="str">
        <f aca="false">IF(A369="","",A369-WEEKDAY(A369,2)+1)</f>
        <v/>
      </c>
      <c r="H369" s="26" t="str">
        <f aca="false">IF(A369="","",DATE(YEAR(A369),MONTH(A369),1))</f>
        <v/>
      </c>
    </row>
    <row r="370" customFormat="false" ht="15" hidden="false" customHeight="false" outlineLevel="0" collapsed="false">
      <c r="A370" s="22"/>
      <c r="B370" s="23"/>
      <c r="C370" s="23"/>
      <c r="D370" s="24"/>
      <c r="E370" s="23"/>
      <c r="F370" s="15" t="str">
        <f aca="false">IF(B370="","",IFERROR(INDEX(Configurações!$B$7:$B$30,MATCH(B370,Configurações!$A$7:$A$30,0)),"?"))</f>
        <v/>
      </c>
      <c r="G370" s="25" t="str">
        <f aca="false">IF(A370="","",A370-WEEKDAY(A370,2)+1)</f>
        <v/>
      </c>
      <c r="H370" s="26" t="str">
        <f aca="false">IF(A370="","",DATE(YEAR(A370),MONTH(A370),1))</f>
        <v/>
      </c>
    </row>
    <row r="371" customFormat="false" ht="15" hidden="false" customHeight="false" outlineLevel="0" collapsed="false">
      <c r="A371" s="22"/>
      <c r="B371" s="23"/>
      <c r="C371" s="23"/>
      <c r="D371" s="24"/>
      <c r="E371" s="23"/>
      <c r="F371" s="15" t="str">
        <f aca="false">IF(B371="","",IFERROR(INDEX(Configurações!$B$7:$B$30,MATCH(B371,Configurações!$A$7:$A$30,0)),"?"))</f>
        <v/>
      </c>
      <c r="G371" s="25" t="str">
        <f aca="false">IF(A371="","",A371-WEEKDAY(A371,2)+1)</f>
        <v/>
      </c>
      <c r="H371" s="26" t="str">
        <f aca="false">IF(A371="","",DATE(YEAR(A371),MONTH(A371),1))</f>
        <v/>
      </c>
    </row>
    <row r="372" customFormat="false" ht="15" hidden="false" customHeight="false" outlineLevel="0" collapsed="false">
      <c r="A372" s="22"/>
      <c r="B372" s="23"/>
      <c r="C372" s="23"/>
      <c r="D372" s="24"/>
      <c r="E372" s="23"/>
      <c r="F372" s="15" t="str">
        <f aca="false">IF(B372="","",IFERROR(INDEX(Configurações!$B$7:$B$30,MATCH(B372,Configurações!$A$7:$A$30,0)),"?"))</f>
        <v/>
      </c>
      <c r="G372" s="25" t="str">
        <f aca="false">IF(A372="","",A372-WEEKDAY(A372,2)+1)</f>
        <v/>
      </c>
      <c r="H372" s="26" t="str">
        <f aca="false">IF(A372="","",DATE(YEAR(A372),MONTH(A372),1))</f>
        <v/>
      </c>
    </row>
    <row r="373" customFormat="false" ht="15" hidden="false" customHeight="false" outlineLevel="0" collapsed="false">
      <c r="A373" s="22"/>
      <c r="B373" s="23"/>
      <c r="C373" s="23"/>
      <c r="D373" s="24"/>
      <c r="E373" s="23"/>
      <c r="F373" s="15" t="str">
        <f aca="false">IF(B373="","",IFERROR(INDEX(Configurações!$B$7:$B$30,MATCH(B373,Configurações!$A$7:$A$30,0)),"?"))</f>
        <v/>
      </c>
      <c r="G373" s="25" t="str">
        <f aca="false">IF(A373="","",A373-WEEKDAY(A373,2)+1)</f>
        <v/>
      </c>
      <c r="H373" s="26" t="str">
        <f aca="false">IF(A373="","",DATE(YEAR(A373),MONTH(A373),1))</f>
        <v/>
      </c>
    </row>
    <row r="374" customFormat="false" ht="15" hidden="false" customHeight="false" outlineLevel="0" collapsed="false">
      <c r="A374" s="22"/>
      <c r="B374" s="23"/>
      <c r="C374" s="23"/>
      <c r="D374" s="24"/>
      <c r="E374" s="23"/>
      <c r="F374" s="15" t="str">
        <f aca="false">IF(B374="","",IFERROR(INDEX(Configurações!$B$7:$B$30,MATCH(B374,Configurações!$A$7:$A$30,0)),"?"))</f>
        <v/>
      </c>
      <c r="G374" s="25" t="str">
        <f aca="false">IF(A374="","",A374-WEEKDAY(A374,2)+1)</f>
        <v/>
      </c>
      <c r="H374" s="26" t="str">
        <f aca="false">IF(A374="","",DATE(YEAR(A374),MONTH(A374),1))</f>
        <v/>
      </c>
    </row>
    <row r="375" customFormat="false" ht="15" hidden="false" customHeight="false" outlineLevel="0" collapsed="false">
      <c r="A375" s="22"/>
      <c r="B375" s="23"/>
      <c r="C375" s="23"/>
      <c r="D375" s="24"/>
      <c r="E375" s="23"/>
      <c r="F375" s="15" t="str">
        <f aca="false">IF(B375="","",IFERROR(INDEX(Configurações!$B$7:$B$30,MATCH(B375,Configurações!$A$7:$A$30,0)),"?"))</f>
        <v/>
      </c>
      <c r="G375" s="25" t="str">
        <f aca="false">IF(A375="","",A375-WEEKDAY(A375,2)+1)</f>
        <v/>
      </c>
      <c r="H375" s="26" t="str">
        <f aca="false">IF(A375="","",DATE(YEAR(A375),MONTH(A375),1))</f>
        <v/>
      </c>
    </row>
    <row r="376" customFormat="false" ht="15" hidden="false" customHeight="false" outlineLevel="0" collapsed="false">
      <c r="A376" s="22"/>
      <c r="B376" s="23"/>
      <c r="C376" s="23"/>
      <c r="D376" s="24"/>
      <c r="E376" s="23"/>
      <c r="F376" s="15" t="str">
        <f aca="false">IF(B376="","",IFERROR(INDEX(Configurações!$B$7:$B$30,MATCH(B376,Configurações!$A$7:$A$30,0)),"?"))</f>
        <v/>
      </c>
      <c r="G376" s="25" t="str">
        <f aca="false">IF(A376="","",A376-WEEKDAY(A376,2)+1)</f>
        <v/>
      </c>
      <c r="H376" s="26" t="str">
        <f aca="false">IF(A376="","",DATE(YEAR(A376),MONTH(A376),1))</f>
        <v/>
      </c>
    </row>
    <row r="377" customFormat="false" ht="15" hidden="false" customHeight="false" outlineLevel="0" collapsed="false">
      <c r="A377" s="22"/>
      <c r="B377" s="23"/>
      <c r="C377" s="23"/>
      <c r="D377" s="24"/>
      <c r="E377" s="23"/>
      <c r="F377" s="15" t="str">
        <f aca="false">IF(B377="","",IFERROR(INDEX(Configurações!$B$7:$B$30,MATCH(B377,Configurações!$A$7:$A$30,0)),"?"))</f>
        <v/>
      </c>
      <c r="G377" s="25" t="str">
        <f aca="false">IF(A377="","",A377-WEEKDAY(A377,2)+1)</f>
        <v/>
      </c>
      <c r="H377" s="26" t="str">
        <f aca="false">IF(A377="","",DATE(YEAR(A377),MONTH(A377),1))</f>
        <v/>
      </c>
    </row>
    <row r="378" customFormat="false" ht="15" hidden="false" customHeight="false" outlineLevel="0" collapsed="false">
      <c r="A378" s="22"/>
      <c r="B378" s="23"/>
      <c r="C378" s="23"/>
      <c r="D378" s="24"/>
      <c r="E378" s="23"/>
      <c r="F378" s="15" t="str">
        <f aca="false">IF(B378="","",IFERROR(INDEX(Configurações!$B$7:$B$30,MATCH(B378,Configurações!$A$7:$A$30,0)),"?"))</f>
        <v/>
      </c>
      <c r="G378" s="25" t="str">
        <f aca="false">IF(A378="","",A378-WEEKDAY(A378,2)+1)</f>
        <v/>
      </c>
      <c r="H378" s="26" t="str">
        <f aca="false">IF(A378="","",DATE(YEAR(A378),MONTH(A378),1))</f>
        <v/>
      </c>
    </row>
    <row r="379" customFormat="false" ht="15" hidden="false" customHeight="false" outlineLevel="0" collapsed="false">
      <c r="A379" s="22"/>
      <c r="B379" s="23"/>
      <c r="C379" s="23"/>
      <c r="D379" s="24"/>
      <c r="E379" s="23"/>
      <c r="F379" s="15" t="str">
        <f aca="false">IF(B379="","",IFERROR(INDEX(Configurações!$B$7:$B$30,MATCH(B379,Configurações!$A$7:$A$30,0)),"?"))</f>
        <v/>
      </c>
      <c r="G379" s="25" t="str">
        <f aca="false">IF(A379="","",A379-WEEKDAY(A379,2)+1)</f>
        <v/>
      </c>
      <c r="H379" s="26" t="str">
        <f aca="false">IF(A379="","",DATE(YEAR(A379),MONTH(A379),1))</f>
        <v/>
      </c>
    </row>
    <row r="380" customFormat="false" ht="15" hidden="false" customHeight="false" outlineLevel="0" collapsed="false">
      <c r="A380" s="22"/>
      <c r="B380" s="23"/>
      <c r="C380" s="23"/>
      <c r="D380" s="24"/>
      <c r="E380" s="23"/>
      <c r="F380" s="15" t="str">
        <f aca="false">IF(B380="","",IFERROR(INDEX(Configurações!$B$7:$B$30,MATCH(B380,Configurações!$A$7:$A$30,0)),"?"))</f>
        <v/>
      </c>
      <c r="G380" s="25" t="str">
        <f aca="false">IF(A380="","",A380-WEEKDAY(A380,2)+1)</f>
        <v/>
      </c>
      <c r="H380" s="26" t="str">
        <f aca="false">IF(A380="","",DATE(YEAR(A380),MONTH(A380),1))</f>
        <v/>
      </c>
    </row>
    <row r="381" customFormat="false" ht="15" hidden="false" customHeight="false" outlineLevel="0" collapsed="false">
      <c r="A381" s="22"/>
      <c r="B381" s="23"/>
      <c r="C381" s="23"/>
      <c r="D381" s="24"/>
      <c r="E381" s="23"/>
      <c r="F381" s="15" t="str">
        <f aca="false">IF(B381="","",IFERROR(INDEX(Configurações!$B$7:$B$30,MATCH(B381,Configurações!$A$7:$A$30,0)),"?"))</f>
        <v/>
      </c>
      <c r="G381" s="25" t="str">
        <f aca="false">IF(A381="","",A381-WEEKDAY(A381,2)+1)</f>
        <v/>
      </c>
      <c r="H381" s="26" t="str">
        <f aca="false">IF(A381="","",DATE(YEAR(A381),MONTH(A381),1))</f>
        <v/>
      </c>
    </row>
    <row r="382" customFormat="false" ht="15" hidden="false" customHeight="false" outlineLevel="0" collapsed="false">
      <c r="A382" s="22"/>
      <c r="B382" s="23"/>
      <c r="C382" s="23"/>
      <c r="D382" s="24"/>
      <c r="E382" s="23"/>
      <c r="F382" s="15" t="str">
        <f aca="false">IF(B382="","",IFERROR(INDEX(Configurações!$B$7:$B$30,MATCH(B382,Configurações!$A$7:$A$30,0)),"?"))</f>
        <v/>
      </c>
      <c r="G382" s="25" t="str">
        <f aca="false">IF(A382="","",A382-WEEKDAY(A382,2)+1)</f>
        <v/>
      </c>
      <c r="H382" s="26" t="str">
        <f aca="false">IF(A382="","",DATE(YEAR(A382),MONTH(A382),1))</f>
        <v/>
      </c>
    </row>
    <row r="383" customFormat="false" ht="15" hidden="false" customHeight="false" outlineLevel="0" collapsed="false">
      <c r="A383" s="22"/>
      <c r="B383" s="23"/>
      <c r="C383" s="23"/>
      <c r="D383" s="24"/>
      <c r="E383" s="23"/>
      <c r="F383" s="15" t="str">
        <f aca="false">IF(B383="","",IFERROR(INDEX(Configurações!$B$7:$B$30,MATCH(B383,Configurações!$A$7:$A$30,0)),"?"))</f>
        <v/>
      </c>
      <c r="G383" s="25" t="str">
        <f aca="false">IF(A383="","",A383-WEEKDAY(A383,2)+1)</f>
        <v/>
      </c>
      <c r="H383" s="26" t="str">
        <f aca="false">IF(A383="","",DATE(YEAR(A383),MONTH(A383),1))</f>
        <v/>
      </c>
    </row>
    <row r="384" customFormat="false" ht="15" hidden="false" customHeight="false" outlineLevel="0" collapsed="false">
      <c r="A384" s="22"/>
      <c r="B384" s="23"/>
      <c r="C384" s="23"/>
      <c r="D384" s="24"/>
      <c r="E384" s="23"/>
      <c r="F384" s="15" t="str">
        <f aca="false">IF(B384="","",IFERROR(INDEX(Configurações!$B$7:$B$30,MATCH(B384,Configurações!$A$7:$A$30,0)),"?"))</f>
        <v/>
      </c>
      <c r="G384" s="25" t="str">
        <f aca="false">IF(A384="","",A384-WEEKDAY(A384,2)+1)</f>
        <v/>
      </c>
      <c r="H384" s="26" t="str">
        <f aca="false">IF(A384="","",DATE(YEAR(A384),MONTH(A384),1))</f>
        <v/>
      </c>
    </row>
    <row r="385" customFormat="false" ht="15" hidden="false" customHeight="false" outlineLevel="0" collapsed="false">
      <c r="A385" s="22"/>
      <c r="B385" s="23"/>
      <c r="C385" s="23"/>
      <c r="D385" s="24"/>
      <c r="E385" s="23"/>
      <c r="F385" s="15" t="str">
        <f aca="false">IF(B385="","",IFERROR(INDEX(Configurações!$B$7:$B$30,MATCH(B385,Configurações!$A$7:$A$30,0)),"?"))</f>
        <v/>
      </c>
      <c r="G385" s="25" t="str">
        <f aca="false">IF(A385="","",A385-WEEKDAY(A385,2)+1)</f>
        <v/>
      </c>
      <c r="H385" s="26" t="str">
        <f aca="false">IF(A385="","",DATE(YEAR(A385),MONTH(A385),1))</f>
        <v/>
      </c>
    </row>
    <row r="386" customFormat="false" ht="15" hidden="false" customHeight="false" outlineLevel="0" collapsed="false">
      <c r="A386" s="22"/>
      <c r="B386" s="23"/>
      <c r="C386" s="23"/>
      <c r="D386" s="24"/>
      <c r="E386" s="23"/>
      <c r="F386" s="15" t="str">
        <f aca="false">IF(B386="","",IFERROR(INDEX(Configurações!$B$7:$B$30,MATCH(B386,Configurações!$A$7:$A$30,0)),"?"))</f>
        <v/>
      </c>
      <c r="G386" s="25" t="str">
        <f aca="false">IF(A386="","",A386-WEEKDAY(A386,2)+1)</f>
        <v/>
      </c>
      <c r="H386" s="26" t="str">
        <f aca="false">IF(A386="","",DATE(YEAR(A386),MONTH(A386),1))</f>
        <v/>
      </c>
    </row>
    <row r="387" customFormat="false" ht="15" hidden="false" customHeight="false" outlineLevel="0" collapsed="false">
      <c r="A387" s="22"/>
      <c r="B387" s="23"/>
      <c r="C387" s="23"/>
      <c r="D387" s="24"/>
      <c r="E387" s="23"/>
      <c r="F387" s="15" t="str">
        <f aca="false">IF(B387="","",IFERROR(INDEX(Configurações!$B$7:$B$30,MATCH(B387,Configurações!$A$7:$A$30,0)),"?"))</f>
        <v/>
      </c>
      <c r="G387" s="25" t="str">
        <f aca="false">IF(A387="","",A387-WEEKDAY(A387,2)+1)</f>
        <v/>
      </c>
      <c r="H387" s="26" t="str">
        <f aca="false">IF(A387="","",DATE(YEAR(A387),MONTH(A387),1))</f>
        <v/>
      </c>
    </row>
    <row r="388" customFormat="false" ht="15" hidden="false" customHeight="false" outlineLevel="0" collapsed="false">
      <c r="A388" s="22"/>
      <c r="B388" s="23"/>
      <c r="C388" s="23"/>
      <c r="D388" s="24"/>
      <c r="E388" s="23"/>
      <c r="F388" s="15" t="str">
        <f aca="false">IF(B388="","",IFERROR(INDEX(Configurações!$B$7:$B$30,MATCH(B388,Configurações!$A$7:$A$30,0)),"?"))</f>
        <v/>
      </c>
      <c r="G388" s="25" t="str">
        <f aca="false">IF(A388="","",A388-WEEKDAY(A388,2)+1)</f>
        <v/>
      </c>
      <c r="H388" s="26" t="str">
        <f aca="false">IF(A388="","",DATE(YEAR(A388),MONTH(A388),1))</f>
        <v/>
      </c>
    </row>
    <row r="389" customFormat="false" ht="15" hidden="false" customHeight="false" outlineLevel="0" collapsed="false">
      <c r="A389" s="22"/>
      <c r="B389" s="23"/>
      <c r="C389" s="23"/>
      <c r="D389" s="24"/>
      <c r="E389" s="23"/>
      <c r="F389" s="15" t="str">
        <f aca="false">IF(B389="","",IFERROR(INDEX(Configurações!$B$7:$B$30,MATCH(B389,Configurações!$A$7:$A$30,0)),"?"))</f>
        <v/>
      </c>
      <c r="G389" s="25" t="str">
        <f aca="false">IF(A389="","",A389-WEEKDAY(A389,2)+1)</f>
        <v/>
      </c>
      <c r="H389" s="26" t="str">
        <f aca="false">IF(A389="","",DATE(YEAR(A389),MONTH(A389),1))</f>
        <v/>
      </c>
    </row>
    <row r="390" customFormat="false" ht="15" hidden="false" customHeight="false" outlineLevel="0" collapsed="false">
      <c r="A390" s="22"/>
      <c r="B390" s="23"/>
      <c r="C390" s="23"/>
      <c r="D390" s="24"/>
      <c r="E390" s="23"/>
      <c r="F390" s="15" t="str">
        <f aca="false">IF(B390="","",IFERROR(INDEX(Configurações!$B$7:$B$30,MATCH(B390,Configurações!$A$7:$A$30,0)),"?"))</f>
        <v/>
      </c>
      <c r="G390" s="25" t="str">
        <f aca="false">IF(A390="","",A390-WEEKDAY(A390,2)+1)</f>
        <v/>
      </c>
      <c r="H390" s="26" t="str">
        <f aca="false">IF(A390="","",DATE(YEAR(A390),MONTH(A390),1))</f>
        <v/>
      </c>
    </row>
    <row r="391" customFormat="false" ht="15" hidden="false" customHeight="false" outlineLevel="0" collapsed="false">
      <c r="A391" s="22"/>
      <c r="B391" s="23"/>
      <c r="C391" s="23"/>
      <c r="D391" s="24"/>
      <c r="E391" s="23"/>
      <c r="F391" s="15" t="str">
        <f aca="false">IF(B391="","",IFERROR(INDEX(Configurações!$B$7:$B$30,MATCH(B391,Configurações!$A$7:$A$30,0)),"?"))</f>
        <v/>
      </c>
      <c r="G391" s="25" t="str">
        <f aca="false">IF(A391="","",A391-WEEKDAY(A391,2)+1)</f>
        <v/>
      </c>
      <c r="H391" s="26" t="str">
        <f aca="false">IF(A391="","",DATE(YEAR(A391),MONTH(A391),1))</f>
        <v/>
      </c>
    </row>
    <row r="392" customFormat="false" ht="15" hidden="false" customHeight="false" outlineLevel="0" collapsed="false">
      <c r="A392" s="22"/>
      <c r="B392" s="23"/>
      <c r="C392" s="23"/>
      <c r="D392" s="24"/>
      <c r="E392" s="23"/>
      <c r="F392" s="15" t="str">
        <f aca="false">IF(B392="","",IFERROR(INDEX(Configurações!$B$7:$B$30,MATCH(B392,Configurações!$A$7:$A$30,0)),"?"))</f>
        <v/>
      </c>
      <c r="G392" s="25" t="str">
        <f aca="false">IF(A392="","",A392-WEEKDAY(A392,2)+1)</f>
        <v/>
      </c>
      <c r="H392" s="26" t="str">
        <f aca="false">IF(A392="","",DATE(YEAR(A392),MONTH(A392),1))</f>
        <v/>
      </c>
    </row>
    <row r="393" customFormat="false" ht="15" hidden="false" customHeight="false" outlineLevel="0" collapsed="false">
      <c r="A393" s="22"/>
      <c r="B393" s="23"/>
      <c r="C393" s="23"/>
      <c r="D393" s="24"/>
      <c r="E393" s="23"/>
      <c r="F393" s="15" t="str">
        <f aca="false">IF(B393="","",IFERROR(INDEX(Configurações!$B$7:$B$30,MATCH(B393,Configurações!$A$7:$A$30,0)),"?"))</f>
        <v/>
      </c>
      <c r="G393" s="25" t="str">
        <f aca="false">IF(A393="","",A393-WEEKDAY(A393,2)+1)</f>
        <v/>
      </c>
      <c r="H393" s="26" t="str">
        <f aca="false">IF(A393="","",DATE(YEAR(A393),MONTH(A393),1))</f>
        <v/>
      </c>
    </row>
    <row r="394" customFormat="false" ht="15" hidden="false" customHeight="false" outlineLevel="0" collapsed="false">
      <c r="A394" s="22"/>
      <c r="B394" s="23"/>
      <c r="C394" s="23"/>
      <c r="D394" s="24"/>
      <c r="E394" s="23"/>
      <c r="F394" s="15" t="str">
        <f aca="false">IF(B394="","",IFERROR(INDEX(Configurações!$B$7:$B$30,MATCH(B394,Configurações!$A$7:$A$30,0)),"?"))</f>
        <v/>
      </c>
      <c r="G394" s="25" t="str">
        <f aca="false">IF(A394="","",A394-WEEKDAY(A394,2)+1)</f>
        <v/>
      </c>
      <c r="H394" s="26" t="str">
        <f aca="false">IF(A394="","",DATE(YEAR(A394),MONTH(A394),1))</f>
        <v/>
      </c>
    </row>
    <row r="395" customFormat="false" ht="15" hidden="false" customHeight="false" outlineLevel="0" collapsed="false">
      <c r="A395" s="22"/>
      <c r="B395" s="23"/>
      <c r="C395" s="23"/>
      <c r="D395" s="24"/>
      <c r="E395" s="23"/>
      <c r="F395" s="15" t="str">
        <f aca="false">IF(B395="","",IFERROR(INDEX(Configurações!$B$7:$B$30,MATCH(B395,Configurações!$A$7:$A$30,0)),"?"))</f>
        <v/>
      </c>
      <c r="G395" s="25" t="str">
        <f aca="false">IF(A395="","",A395-WEEKDAY(A395,2)+1)</f>
        <v/>
      </c>
      <c r="H395" s="26" t="str">
        <f aca="false">IF(A395="","",DATE(YEAR(A395),MONTH(A395),1))</f>
        <v/>
      </c>
    </row>
    <row r="396" customFormat="false" ht="15" hidden="false" customHeight="false" outlineLevel="0" collapsed="false">
      <c r="A396" s="22"/>
      <c r="B396" s="23"/>
      <c r="C396" s="23"/>
      <c r="D396" s="24"/>
      <c r="E396" s="23"/>
      <c r="F396" s="15" t="str">
        <f aca="false">IF(B396="","",IFERROR(INDEX(Configurações!$B$7:$B$30,MATCH(B396,Configurações!$A$7:$A$30,0)),"?"))</f>
        <v/>
      </c>
      <c r="G396" s="25" t="str">
        <f aca="false">IF(A396="","",A396-WEEKDAY(A396,2)+1)</f>
        <v/>
      </c>
      <c r="H396" s="26" t="str">
        <f aca="false">IF(A396="","",DATE(YEAR(A396),MONTH(A396),1))</f>
        <v/>
      </c>
    </row>
    <row r="397" customFormat="false" ht="15" hidden="false" customHeight="false" outlineLevel="0" collapsed="false">
      <c r="A397" s="22"/>
      <c r="B397" s="23"/>
      <c r="C397" s="23"/>
      <c r="D397" s="24"/>
      <c r="E397" s="23"/>
      <c r="F397" s="15" t="str">
        <f aca="false">IF(B397="","",IFERROR(INDEX(Configurações!$B$7:$B$30,MATCH(B397,Configurações!$A$7:$A$30,0)),"?"))</f>
        <v/>
      </c>
      <c r="G397" s="25" t="str">
        <f aca="false">IF(A397="","",A397-WEEKDAY(A397,2)+1)</f>
        <v/>
      </c>
      <c r="H397" s="26" t="str">
        <f aca="false">IF(A397="","",DATE(YEAR(A397),MONTH(A397),1))</f>
        <v/>
      </c>
    </row>
    <row r="398" customFormat="false" ht="15" hidden="false" customHeight="false" outlineLevel="0" collapsed="false">
      <c r="A398" s="22"/>
      <c r="B398" s="23"/>
      <c r="C398" s="23"/>
      <c r="D398" s="24"/>
      <c r="E398" s="23"/>
      <c r="F398" s="15" t="str">
        <f aca="false">IF(B398="","",IFERROR(INDEX(Configurações!$B$7:$B$30,MATCH(B398,Configurações!$A$7:$A$30,0)),"?"))</f>
        <v/>
      </c>
      <c r="G398" s="25" t="str">
        <f aca="false">IF(A398="","",A398-WEEKDAY(A398,2)+1)</f>
        <v/>
      </c>
      <c r="H398" s="26" t="str">
        <f aca="false">IF(A398="","",DATE(YEAR(A398),MONTH(A398),1))</f>
        <v/>
      </c>
    </row>
    <row r="399" customFormat="false" ht="15" hidden="false" customHeight="false" outlineLevel="0" collapsed="false">
      <c r="A399" s="22"/>
      <c r="B399" s="23"/>
      <c r="C399" s="23"/>
      <c r="D399" s="24"/>
      <c r="E399" s="23"/>
      <c r="F399" s="15" t="str">
        <f aca="false">IF(B399="","",IFERROR(INDEX(Configurações!$B$7:$B$30,MATCH(B399,Configurações!$A$7:$A$30,0)),"?"))</f>
        <v/>
      </c>
      <c r="G399" s="25" t="str">
        <f aca="false">IF(A399="","",A399-WEEKDAY(A399,2)+1)</f>
        <v/>
      </c>
      <c r="H399" s="26" t="str">
        <f aca="false">IF(A399="","",DATE(YEAR(A399),MONTH(A399),1))</f>
        <v/>
      </c>
    </row>
    <row r="400" customFormat="false" ht="15" hidden="false" customHeight="false" outlineLevel="0" collapsed="false">
      <c r="A400" s="22"/>
      <c r="B400" s="23"/>
      <c r="C400" s="23"/>
      <c r="D400" s="24"/>
      <c r="E400" s="23"/>
      <c r="F400" s="15" t="str">
        <f aca="false">IF(B400="","",IFERROR(INDEX(Configurações!$B$7:$B$30,MATCH(B400,Configurações!$A$7:$A$30,0)),"?"))</f>
        <v/>
      </c>
      <c r="G400" s="25" t="str">
        <f aca="false">IF(A400="","",A400-WEEKDAY(A400,2)+1)</f>
        <v/>
      </c>
      <c r="H400" s="26" t="str">
        <f aca="false">IF(A400="","",DATE(YEAR(A400),MONTH(A400),1))</f>
        <v/>
      </c>
    </row>
    <row r="401" customFormat="false" ht="15" hidden="false" customHeight="false" outlineLevel="0" collapsed="false">
      <c r="A401" s="22"/>
      <c r="B401" s="23"/>
      <c r="C401" s="23"/>
      <c r="D401" s="24"/>
      <c r="E401" s="23"/>
      <c r="F401" s="15" t="str">
        <f aca="false">IF(B401="","",IFERROR(INDEX(Configurações!$B$7:$B$30,MATCH(B401,Configurações!$A$7:$A$30,0)),"?"))</f>
        <v/>
      </c>
      <c r="G401" s="25" t="str">
        <f aca="false">IF(A401="","",A401-WEEKDAY(A401,2)+1)</f>
        <v/>
      </c>
      <c r="H401" s="26" t="str">
        <f aca="false">IF(A401="","",DATE(YEAR(A401),MONTH(A401),1))</f>
        <v/>
      </c>
    </row>
    <row r="402" customFormat="false" ht="15" hidden="false" customHeight="false" outlineLevel="0" collapsed="false">
      <c r="A402" s="22"/>
      <c r="B402" s="23"/>
      <c r="C402" s="23"/>
      <c r="D402" s="24"/>
      <c r="E402" s="23"/>
      <c r="F402" s="15" t="str">
        <f aca="false">IF(B402="","",IFERROR(INDEX(Configurações!$B$7:$B$30,MATCH(B402,Configurações!$A$7:$A$30,0)),"?"))</f>
        <v/>
      </c>
      <c r="G402" s="25" t="str">
        <f aca="false">IF(A402="","",A402-WEEKDAY(A402,2)+1)</f>
        <v/>
      </c>
      <c r="H402" s="26" t="str">
        <f aca="false">IF(A402="","",DATE(YEAR(A402),MONTH(A402),1))</f>
        <v/>
      </c>
    </row>
    <row r="403" customFormat="false" ht="15" hidden="false" customHeight="false" outlineLevel="0" collapsed="false">
      <c r="A403" s="22"/>
      <c r="B403" s="23"/>
      <c r="C403" s="23"/>
      <c r="D403" s="24"/>
      <c r="E403" s="23"/>
      <c r="F403" s="15" t="str">
        <f aca="false">IF(B403="","",IFERROR(INDEX(Configurações!$B$7:$B$30,MATCH(B403,Configurações!$A$7:$A$30,0)),"?"))</f>
        <v/>
      </c>
      <c r="G403" s="25" t="str">
        <f aca="false">IF(A403="","",A403-WEEKDAY(A403,2)+1)</f>
        <v/>
      </c>
      <c r="H403" s="26" t="str">
        <f aca="false">IF(A403="","",DATE(YEAR(A403),MONTH(A403),1))</f>
        <v/>
      </c>
    </row>
    <row r="404" customFormat="false" ht="15" hidden="false" customHeight="false" outlineLevel="0" collapsed="false">
      <c r="A404" s="22"/>
      <c r="B404" s="23"/>
      <c r="C404" s="23"/>
      <c r="D404" s="24"/>
      <c r="E404" s="23"/>
      <c r="F404" s="15" t="str">
        <f aca="false">IF(B404="","",IFERROR(INDEX(Configurações!$B$7:$B$30,MATCH(B404,Configurações!$A$7:$A$30,0)),"?"))</f>
        <v/>
      </c>
      <c r="G404" s="25" t="str">
        <f aca="false">IF(A404="","",A404-WEEKDAY(A404,2)+1)</f>
        <v/>
      </c>
      <c r="H404" s="26" t="str">
        <f aca="false">IF(A404="","",DATE(YEAR(A404),MONTH(A404),1))</f>
        <v/>
      </c>
    </row>
    <row r="405" customFormat="false" ht="15" hidden="false" customHeight="false" outlineLevel="0" collapsed="false">
      <c r="A405" s="22"/>
      <c r="B405" s="23"/>
      <c r="C405" s="23"/>
      <c r="D405" s="24"/>
      <c r="E405" s="23"/>
      <c r="F405" s="15" t="str">
        <f aca="false">IF(B405="","",IFERROR(INDEX(Configurações!$B$7:$B$30,MATCH(B405,Configurações!$A$7:$A$30,0)),"?"))</f>
        <v/>
      </c>
      <c r="G405" s="25" t="str">
        <f aca="false">IF(A405="","",A405-WEEKDAY(A405,2)+1)</f>
        <v/>
      </c>
      <c r="H405" s="26" t="str">
        <f aca="false">IF(A405="","",DATE(YEAR(A405),MONTH(A405),1))</f>
        <v/>
      </c>
    </row>
    <row r="406" customFormat="false" ht="15" hidden="false" customHeight="false" outlineLevel="0" collapsed="false">
      <c r="A406" s="22"/>
      <c r="B406" s="23"/>
      <c r="C406" s="23"/>
      <c r="D406" s="24"/>
      <c r="E406" s="23"/>
      <c r="F406" s="15" t="str">
        <f aca="false">IF(B406="","",IFERROR(INDEX(Configurações!$B$7:$B$30,MATCH(B406,Configurações!$A$7:$A$30,0)),"?"))</f>
        <v/>
      </c>
      <c r="G406" s="25" t="str">
        <f aca="false">IF(A406="","",A406-WEEKDAY(A406,2)+1)</f>
        <v/>
      </c>
      <c r="H406" s="26" t="str">
        <f aca="false">IF(A406="","",DATE(YEAR(A406),MONTH(A406),1))</f>
        <v/>
      </c>
    </row>
    <row r="407" customFormat="false" ht="15" hidden="false" customHeight="false" outlineLevel="0" collapsed="false">
      <c r="A407" s="22"/>
      <c r="B407" s="23"/>
      <c r="C407" s="23"/>
      <c r="D407" s="24"/>
      <c r="E407" s="23"/>
      <c r="F407" s="15" t="str">
        <f aca="false">IF(B407="","",IFERROR(INDEX(Configurações!$B$7:$B$30,MATCH(B407,Configurações!$A$7:$A$30,0)),"?"))</f>
        <v/>
      </c>
      <c r="G407" s="25" t="str">
        <f aca="false">IF(A407="","",A407-WEEKDAY(A407,2)+1)</f>
        <v/>
      </c>
      <c r="H407" s="26" t="str">
        <f aca="false">IF(A407="","",DATE(YEAR(A407),MONTH(A407),1))</f>
        <v/>
      </c>
    </row>
    <row r="408" customFormat="false" ht="15" hidden="false" customHeight="false" outlineLevel="0" collapsed="false">
      <c r="A408" s="22"/>
      <c r="B408" s="23"/>
      <c r="C408" s="23"/>
      <c r="D408" s="24"/>
      <c r="E408" s="23"/>
      <c r="F408" s="15" t="str">
        <f aca="false">IF(B408="","",IFERROR(INDEX(Configurações!$B$7:$B$30,MATCH(B408,Configurações!$A$7:$A$30,0)),"?"))</f>
        <v/>
      </c>
      <c r="G408" s="25" t="str">
        <f aca="false">IF(A408="","",A408-WEEKDAY(A408,2)+1)</f>
        <v/>
      </c>
      <c r="H408" s="26" t="str">
        <f aca="false">IF(A408="","",DATE(YEAR(A408),MONTH(A408),1))</f>
        <v/>
      </c>
    </row>
    <row r="409" customFormat="false" ht="15" hidden="false" customHeight="false" outlineLevel="0" collapsed="false">
      <c r="A409" s="22"/>
      <c r="B409" s="23"/>
      <c r="C409" s="23"/>
      <c r="D409" s="24"/>
      <c r="E409" s="23"/>
      <c r="F409" s="15" t="str">
        <f aca="false">IF(B409="","",IFERROR(INDEX(Configurações!$B$7:$B$30,MATCH(B409,Configurações!$A$7:$A$30,0)),"?"))</f>
        <v/>
      </c>
      <c r="G409" s="25" t="str">
        <f aca="false">IF(A409="","",A409-WEEKDAY(A409,2)+1)</f>
        <v/>
      </c>
      <c r="H409" s="26" t="str">
        <f aca="false">IF(A409="","",DATE(YEAR(A409),MONTH(A409),1))</f>
        <v/>
      </c>
    </row>
    <row r="410" customFormat="false" ht="15" hidden="false" customHeight="false" outlineLevel="0" collapsed="false">
      <c r="A410" s="22"/>
      <c r="B410" s="23"/>
      <c r="C410" s="23"/>
      <c r="D410" s="24"/>
      <c r="E410" s="23"/>
      <c r="F410" s="15" t="str">
        <f aca="false">IF(B410="","",IFERROR(INDEX(Configurações!$B$7:$B$30,MATCH(B410,Configurações!$A$7:$A$30,0)),"?"))</f>
        <v/>
      </c>
      <c r="G410" s="25" t="str">
        <f aca="false">IF(A410="","",A410-WEEKDAY(A410,2)+1)</f>
        <v/>
      </c>
      <c r="H410" s="26" t="str">
        <f aca="false">IF(A410="","",DATE(YEAR(A410),MONTH(A410),1))</f>
        <v/>
      </c>
    </row>
    <row r="411" customFormat="false" ht="15" hidden="false" customHeight="false" outlineLevel="0" collapsed="false">
      <c r="A411" s="22"/>
      <c r="B411" s="23"/>
      <c r="C411" s="23"/>
      <c r="D411" s="24"/>
      <c r="E411" s="23"/>
      <c r="F411" s="15" t="str">
        <f aca="false">IF(B411="","",IFERROR(INDEX(Configurações!$B$7:$B$30,MATCH(B411,Configurações!$A$7:$A$30,0)),"?"))</f>
        <v/>
      </c>
      <c r="G411" s="25" t="str">
        <f aca="false">IF(A411="","",A411-WEEKDAY(A411,2)+1)</f>
        <v/>
      </c>
      <c r="H411" s="26" t="str">
        <f aca="false">IF(A411="","",DATE(YEAR(A411),MONTH(A411),1))</f>
        <v/>
      </c>
    </row>
    <row r="412" customFormat="false" ht="15" hidden="false" customHeight="false" outlineLevel="0" collapsed="false">
      <c r="A412" s="22"/>
      <c r="B412" s="23"/>
      <c r="C412" s="23"/>
      <c r="D412" s="24"/>
      <c r="E412" s="23"/>
      <c r="F412" s="15" t="str">
        <f aca="false">IF(B412="","",IFERROR(INDEX(Configurações!$B$7:$B$30,MATCH(B412,Configurações!$A$7:$A$30,0)),"?"))</f>
        <v/>
      </c>
      <c r="G412" s="25" t="str">
        <f aca="false">IF(A412="","",A412-WEEKDAY(A412,2)+1)</f>
        <v/>
      </c>
      <c r="H412" s="26" t="str">
        <f aca="false">IF(A412="","",DATE(YEAR(A412),MONTH(A412),1))</f>
        <v/>
      </c>
    </row>
    <row r="413" customFormat="false" ht="15" hidden="false" customHeight="false" outlineLevel="0" collapsed="false">
      <c r="A413" s="22"/>
      <c r="B413" s="23"/>
      <c r="C413" s="23"/>
      <c r="D413" s="24"/>
      <c r="E413" s="23"/>
      <c r="F413" s="15" t="str">
        <f aca="false">IF(B413="","",IFERROR(INDEX(Configurações!$B$7:$B$30,MATCH(B413,Configurações!$A$7:$A$30,0)),"?"))</f>
        <v/>
      </c>
      <c r="G413" s="25" t="str">
        <f aca="false">IF(A413="","",A413-WEEKDAY(A413,2)+1)</f>
        <v/>
      </c>
      <c r="H413" s="26" t="str">
        <f aca="false">IF(A413="","",DATE(YEAR(A413),MONTH(A413),1))</f>
        <v/>
      </c>
    </row>
    <row r="414" customFormat="false" ht="15" hidden="false" customHeight="false" outlineLevel="0" collapsed="false">
      <c r="A414" s="22"/>
      <c r="B414" s="23"/>
      <c r="C414" s="23"/>
      <c r="D414" s="24"/>
      <c r="E414" s="23"/>
      <c r="F414" s="15" t="str">
        <f aca="false">IF(B414="","",IFERROR(INDEX(Configurações!$B$7:$B$30,MATCH(B414,Configurações!$A$7:$A$30,0)),"?"))</f>
        <v/>
      </c>
      <c r="G414" s="25" t="str">
        <f aca="false">IF(A414="","",A414-WEEKDAY(A414,2)+1)</f>
        <v/>
      </c>
      <c r="H414" s="26" t="str">
        <f aca="false">IF(A414="","",DATE(YEAR(A414),MONTH(A414),1))</f>
        <v/>
      </c>
    </row>
    <row r="415" customFormat="false" ht="15" hidden="false" customHeight="false" outlineLevel="0" collapsed="false">
      <c r="A415" s="22"/>
      <c r="B415" s="23"/>
      <c r="C415" s="23"/>
      <c r="D415" s="24"/>
      <c r="E415" s="23"/>
      <c r="F415" s="15" t="str">
        <f aca="false">IF(B415="","",IFERROR(INDEX(Configurações!$B$7:$B$30,MATCH(B415,Configurações!$A$7:$A$30,0)),"?"))</f>
        <v/>
      </c>
      <c r="G415" s="25" t="str">
        <f aca="false">IF(A415="","",A415-WEEKDAY(A415,2)+1)</f>
        <v/>
      </c>
      <c r="H415" s="26" t="str">
        <f aca="false">IF(A415="","",DATE(YEAR(A415),MONTH(A415),1))</f>
        <v/>
      </c>
    </row>
    <row r="416" customFormat="false" ht="15" hidden="false" customHeight="false" outlineLevel="0" collapsed="false">
      <c r="A416" s="22"/>
      <c r="B416" s="23"/>
      <c r="C416" s="23"/>
      <c r="D416" s="24"/>
      <c r="E416" s="23"/>
      <c r="F416" s="15" t="str">
        <f aca="false">IF(B416="","",IFERROR(INDEX(Configurações!$B$7:$B$30,MATCH(B416,Configurações!$A$7:$A$30,0)),"?"))</f>
        <v/>
      </c>
      <c r="G416" s="25" t="str">
        <f aca="false">IF(A416="","",A416-WEEKDAY(A416,2)+1)</f>
        <v/>
      </c>
      <c r="H416" s="26" t="str">
        <f aca="false">IF(A416="","",DATE(YEAR(A416),MONTH(A416),1))</f>
        <v/>
      </c>
    </row>
    <row r="417" customFormat="false" ht="15" hidden="false" customHeight="false" outlineLevel="0" collapsed="false">
      <c r="A417" s="22"/>
      <c r="B417" s="23"/>
      <c r="C417" s="23"/>
      <c r="D417" s="24"/>
      <c r="E417" s="23"/>
      <c r="F417" s="15" t="str">
        <f aca="false">IF(B417="","",IFERROR(INDEX(Configurações!$B$7:$B$30,MATCH(B417,Configurações!$A$7:$A$30,0)),"?"))</f>
        <v/>
      </c>
      <c r="G417" s="25" t="str">
        <f aca="false">IF(A417="","",A417-WEEKDAY(A417,2)+1)</f>
        <v/>
      </c>
      <c r="H417" s="26" t="str">
        <f aca="false">IF(A417="","",DATE(YEAR(A417),MONTH(A417),1))</f>
        <v/>
      </c>
    </row>
    <row r="418" customFormat="false" ht="15" hidden="false" customHeight="false" outlineLevel="0" collapsed="false">
      <c r="A418" s="22"/>
      <c r="B418" s="23"/>
      <c r="C418" s="23"/>
      <c r="D418" s="24"/>
      <c r="E418" s="23"/>
      <c r="F418" s="15" t="str">
        <f aca="false">IF(B418="","",IFERROR(INDEX(Configurações!$B$7:$B$30,MATCH(B418,Configurações!$A$7:$A$30,0)),"?"))</f>
        <v/>
      </c>
      <c r="G418" s="25" t="str">
        <f aca="false">IF(A418="","",A418-WEEKDAY(A418,2)+1)</f>
        <v/>
      </c>
      <c r="H418" s="26" t="str">
        <f aca="false">IF(A418="","",DATE(YEAR(A418),MONTH(A418),1))</f>
        <v/>
      </c>
    </row>
    <row r="419" customFormat="false" ht="15" hidden="false" customHeight="false" outlineLevel="0" collapsed="false">
      <c r="A419" s="22"/>
      <c r="B419" s="23"/>
      <c r="C419" s="23"/>
      <c r="D419" s="24"/>
      <c r="E419" s="23"/>
      <c r="F419" s="15" t="str">
        <f aca="false">IF(B419="","",IFERROR(INDEX(Configurações!$B$7:$B$30,MATCH(B419,Configurações!$A$7:$A$30,0)),"?"))</f>
        <v/>
      </c>
      <c r="G419" s="25" t="str">
        <f aca="false">IF(A419="","",A419-WEEKDAY(A419,2)+1)</f>
        <v/>
      </c>
      <c r="H419" s="26" t="str">
        <f aca="false">IF(A419="","",DATE(YEAR(A419),MONTH(A419),1))</f>
        <v/>
      </c>
    </row>
    <row r="420" customFormat="false" ht="15" hidden="false" customHeight="false" outlineLevel="0" collapsed="false">
      <c r="A420" s="22"/>
      <c r="B420" s="23"/>
      <c r="C420" s="23"/>
      <c r="D420" s="24"/>
      <c r="E420" s="23"/>
      <c r="F420" s="15" t="str">
        <f aca="false">IF(B420="","",IFERROR(INDEX(Configurações!$B$7:$B$30,MATCH(B420,Configurações!$A$7:$A$30,0)),"?"))</f>
        <v/>
      </c>
      <c r="G420" s="25" t="str">
        <f aca="false">IF(A420="","",A420-WEEKDAY(A420,2)+1)</f>
        <v/>
      </c>
      <c r="H420" s="26" t="str">
        <f aca="false">IF(A420="","",DATE(YEAR(A420),MONTH(A420),1))</f>
        <v/>
      </c>
    </row>
    <row r="421" customFormat="false" ht="15" hidden="false" customHeight="false" outlineLevel="0" collapsed="false">
      <c r="A421" s="22"/>
      <c r="B421" s="23"/>
      <c r="C421" s="23"/>
      <c r="D421" s="24"/>
      <c r="E421" s="23"/>
      <c r="F421" s="15" t="str">
        <f aca="false">IF(B421="","",IFERROR(INDEX(Configurações!$B$7:$B$30,MATCH(B421,Configurações!$A$7:$A$30,0)),"?"))</f>
        <v/>
      </c>
      <c r="G421" s="25" t="str">
        <f aca="false">IF(A421="","",A421-WEEKDAY(A421,2)+1)</f>
        <v/>
      </c>
      <c r="H421" s="26" t="str">
        <f aca="false">IF(A421="","",DATE(YEAR(A421),MONTH(A421),1))</f>
        <v/>
      </c>
    </row>
    <row r="422" customFormat="false" ht="15" hidden="false" customHeight="false" outlineLevel="0" collapsed="false">
      <c r="A422" s="22"/>
      <c r="B422" s="23"/>
      <c r="C422" s="23"/>
      <c r="D422" s="24"/>
      <c r="E422" s="23"/>
      <c r="F422" s="15" t="str">
        <f aca="false">IF(B422="","",IFERROR(INDEX(Configurações!$B$7:$B$30,MATCH(B422,Configurações!$A$7:$A$30,0)),"?"))</f>
        <v/>
      </c>
      <c r="G422" s="25" t="str">
        <f aca="false">IF(A422="","",A422-WEEKDAY(A422,2)+1)</f>
        <v/>
      </c>
      <c r="H422" s="26" t="str">
        <f aca="false">IF(A422="","",DATE(YEAR(A422),MONTH(A422),1))</f>
        <v/>
      </c>
    </row>
    <row r="423" customFormat="false" ht="15" hidden="false" customHeight="false" outlineLevel="0" collapsed="false">
      <c r="A423" s="22"/>
      <c r="B423" s="23"/>
      <c r="C423" s="23"/>
      <c r="D423" s="24"/>
      <c r="E423" s="23"/>
      <c r="F423" s="15" t="str">
        <f aca="false">IF(B423="","",IFERROR(INDEX(Configurações!$B$7:$B$30,MATCH(B423,Configurações!$A$7:$A$30,0)),"?"))</f>
        <v/>
      </c>
      <c r="G423" s="25" t="str">
        <f aca="false">IF(A423="","",A423-WEEKDAY(A423,2)+1)</f>
        <v/>
      </c>
      <c r="H423" s="26" t="str">
        <f aca="false">IF(A423="","",DATE(YEAR(A423),MONTH(A423),1))</f>
        <v/>
      </c>
    </row>
    <row r="424" customFormat="false" ht="15" hidden="false" customHeight="false" outlineLevel="0" collapsed="false">
      <c r="A424" s="22"/>
      <c r="B424" s="23"/>
      <c r="C424" s="23"/>
      <c r="D424" s="24"/>
      <c r="E424" s="23"/>
      <c r="F424" s="15" t="str">
        <f aca="false">IF(B424="","",IFERROR(INDEX(Configurações!$B$7:$B$30,MATCH(B424,Configurações!$A$7:$A$30,0)),"?"))</f>
        <v/>
      </c>
      <c r="G424" s="25" t="str">
        <f aca="false">IF(A424="","",A424-WEEKDAY(A424,2)+1)</f>
        <v/>
      </c>
      <c r="H424" s="26" t="str">
        <f aca="false">IF(A424="","",DATE(YEAR(A424),MONTH(A424),1))</f>
        <v/>
      </c>
    </row>
    <row r="425" customFormat="false" ht="15" hidden="false" customHeight="false" outlineLevel="0" collapsed="false">
      <c r="A425" s="22"/>
      <c r="B425" s="23"/>
      <c r="C425" s="23"/>
      <c r="D425" s="24"/>
      <c r="E425" s="23"/>
      <c r="F425" s="15" t="str">
        <f aca="false">IF(B425="","",IFERROR(INDEX(Configurações!$B$7:$B$30,MATCH(B425,Configurações!$A$7:$A$30,0)),"?"))</f>
        <v/>
      </c>
      <c r="G425" s="25" t="str">
        <f aca="false">IF(A425="","",A425-WEEKDAY(A425,2)+1)</f>
        <v/>
      </c>
      <c r="H425" s="26" t="str">
        <f aca="false">IF(A425="","",DATE(YEAR(A425),MONTH(A425),1))</f>
        <v/>
      </c>
    </row>
    <row r="426" customFormat="false" ht="15" hidden="false" customHeight="false" outlineLevel="0" collapsed="false">
      <c r="A426" s="22"/>
      <c r="B426" s="23"/>
      <c r="C426" s="23"/>
      <c r="D426" s="24"/>
      <c r="E426" s="23"/>
      <c r="F426" s="15" t="str">
        <f aca="false">IF(B426="","",IFERROR(INDEX(Configurações!$B$7:$B$30,MATCH(B426,Configurações!$A$7:$A$30,0)),"?"))</f>
        <v/>
      </c>
      <c r="G426" s="25" t="str">
        <f aca="false">IF(A426="","",A426-WEEKDAY(A426,2)+1)</f>
        <v/>
      </c>
      <c r="H426" s="26" t="str">
        <f aca="false">IF(A426="","",DATE(YEAR(A426),MONTH(A426),1))</f>
        <v/>
      </c>
    </row>
    <row r="427" customFormat="false" ht="15" hidden="false" customHeight="false" outlineLevel="0" collapsed="false">
      <c r="A427" s="22"/>
      <c r="B427" s="23"/>
      <c r="C427" s="23"/>
      <c r="D427" s="24"/>
      <c r="E427" s="23"/>
      <c r="F427" s="15" t="str">
        <f aca="false">IF(B427="","",IFERROR(INDEX(Configurações!$B$7:$B$30,MATCH(B427,Configurações!$A$7:$A$30,0)),"?"))</f>
        <v/>
      </c>
      <c r="G427" s="25" t="str">
        <f aca="false">IF(A427="","",A427-WEEKDAY(A427,2)+1)</f>
        <v/>
      </c>
      <c r="H427" s="26" t="str">
        <f aca="false">IF(A427="","",DATE(YEAR(A427),MONTH(A427),1))</f>
        <v/>
      </c>
    </row>
    <row r="428" customFormat="false" ht="15" hidden="false" customHeight="false" outlineLevel="0" collapsed="false">
      <c r="A428" s="22"/>
      <c r="B428" s="23"/>
      <c r="C428" s="23"/>
      <c r="D428" s="24"/>
      <c r="E428" s="23"/>
      <c r="F428" s="15" t="str">
        <f aca="false">IF(B428="","",IFERROR(INDEX(Configurações!$B$7:$B$30,MATCH(B428,Configurações!$A$7:$A$30,0)),"?"))</f>
        <v/>
      </c>
      <c r="G428" s="25" t="str">
        <f aca="false">IF(A428="","",A428-WEEKDAY(A428,2)+1)</f>
        <v/>
      </c>
      <c r="H428" s="26" t="str">
        <f aca="false">IF(A428="","",DATE(YEAR(A428),MONTH(A428),1))</f>
        <v/>
      </c>
    </row>
    <row r="429" customFormat="false" ht="15" hidden="false" customHeight="false" outlineLevel="0" collapsed="false">
      <c r="A429" s="22"/>
      <c r="B429" s="23"/>
      <c r="C429" s="23"/>
      <c r="D429" s="24"/>
      <c r="E429" s="23"/>
      <c r="F429" s="15" t="str">
        <f aca="false">IF(B429="","",IFERROR(INDEX(Configurações!$B$7:$B$30,MATCH(B429,Configurações!$A$7:$A$30,0)),"?"))</f>
        <v/>
      </c>
      <c r="G429" s="25" t="str">
        <f aca="false">IF(A429="","",A429-WEEKDAY(A429,2)+1)</f>
        <v/>
      </c>
      <c r="H429" s="26" t="str">
        <f aca="false">IF(A429="","",DATE(YEAR(A429),MONTH(A429),1))</f>
        <v/>
      </c>
    </row>
    <row r="430" customFormat="false" ht="15" hidden="false" customHeight="false" outlineLevel="0" collapsed="false">
      <c r="A430" s="22"/>
      <c r="B430" s="23"/>
      <c r="C430" s="23"/>
      <c r="D430" s="24"/>
      <c r="E430" s="23"/>
      <c r="F430" s="15" t="str">
        <f aca="false">IF(B430="","",IFERROR(INDEX(Configurações!$B$7:$B$30,MATCH(B430,Configurações!$A$7:$A$30,0)),"?"))</f>
        <v/>
      </c>
      <c r="G430" s="25" t="str">
        <f aca="false">IF(A430="","",A430-WEEKDAY(A430,2)+1)</f>
        <v/>
      </c>
      <c r="H430" s="26" t="str">
        <f aca="false">IF(A430="","",DATE(YEAR(A430),MONTH(A430),1))</f>
        <v/>
      </c>
    </row>
    <row r="431" customFormat="false" ht="15" hidden="false" customHeight="false" outlineLevel="0" collapsed="false">
      <c r="A431" s="22"/>
      <c r="B431" s="23"/>
      <c r="C431" s="23"/>
      <c r="D431" s="24"/>
      <c r="E431" s="23"/>
      <c r="F431" s="15" t="str">
        <f aca="false">IF(B431="","",IFERROR(INDEX(Configurações!$B$7:$B$30,MATCH(B431,Configurações!$A$7:$A$30,0)),"?"))</f>
        <v/>
      </c>
      <c r="G431" s="25" t="str">
        <f aca="false">IF(A431="","",A431-WEEKDAY(A431,2)+1)</f>
        <v/>
      </c>
      <c r="H431" s="26" t="str">
        <f aca="false">IF(A431="","",DATE(YEAR(A431),MONTH(A431),1))</f>
        <v/>
      </c>
    </row>
    <row r="432" customFormat="false" ht="15" hidden="false" customHeight="false" outlineLevel="0" collapsed="false">
      <c r="A432" s="22"/>
      <c r="B432" s="23"/>
      <c r="C432" s="23"/>
      <c r="D432" s="24"/>
      <c r="E432" s="23"/>
      <c r="F432" s="15" t="str">
        <f aca="false">IF(B432="","",IFERROR(INDEX(Configurações!$B$7:$B$30,MATCH(B432,Configurações!$A$7:$A$30,0)),"?"))</f>
        <v/>
      </c>
      <c r="G432" s="25" t="str">
        <f aca="false">IF(A432="","",A432-WEEKDAY(A432,2)+1)</f>
        <v/>
      </c>
      <c r="H432" s="26" t="str">
        <f aca="false">IF(A432="","",DATE(YEAR(A432),MONTH(A432),1))</f>
        <v/>
      </c>
    </row>
    <row r="433" customFormat="false" ht="15" hidden="false" customHeight="false" outlineLevel="0" collapsed="false">
      <c r="A433" s="22"/>
      <c r="B433" s="23"/>
      <c r="C433" s="23"/>
      <c r="D433" s="24"/>
      <c r="E433" s="23"/>
      <c r="F433" s="15" t="str">
        <f aca="false">IF(B433="","",IFERROR(INDEX(Configurações!$B$7:$B$30,MATCH(B433,Configurações!$A$7:$A$30,0)),"?"))</f>
        <v/>
      </c>
      <c r="G433" s="25" t="str">
        <f aca="false">IF(A433="","",A433-WEEKDAY(A433,2)+1)</f>
        <v/>
      </c>
      <c r="H433" s="26" t="str">
        <f aca="false">IF(A433="","",DATE(YEAR(A433),MONTH(A433),1))</f>
        <v/>
      </c>
    </row>
    <row r="434" customFormat="false" ht="15" hidden="false" customHeight="false" outlineLevel="0" collapsed="false">
      <c r="A434" s="22"/>
      <c r="B434" s="23"/>
      <c r="C434" s="23"/>
      <c r="D434" s="24"/>
      <c r="E434" s="23"/>
      <c r="F434" s="15" t="str">
        <f aca="false">IF(B434="","",IFERROR(INDEX(Configurações!$B$7:$B$30,MATCH(B434,Configurações!$A$7:$A$30,0)),"?"))</f>
        <v/>
      </c>
      <c r="G434" s="25" t="str">
        <f aca="false">IF(A434="","",A434-WEEKDAY(A434,2)+1)</f>
        <v/>
      </c>
      <c r="H434" s="26" t="str">
        <f aca="false">IF(A434="","",DATE(YEAR(A434),MONTH(A434),1))</f>
        <v/>
      </c>
    </row>
    <row r="435" customFormat="false" ht="15" hidden="false" customHeight="false" outlineLevel="0" collapsed="false">
      <c r="A435" s="22"/>
      <c r="B435" s="23"/>
      <c r="C435" s="23"/>
      <c r="D435" s="24"/>
      <c r="E435" s="23"/>
      <c r="F435" s="15" t="str">
        <f aca="false">IF(B435="","",IFERROR(INDEX(Configurações!$B$7:$B$30,MATCH(B435,Configurações!$A$7:$A$30,0)),"?"))</f>
        <v/>
      </c>
      <c r="G435" s="25" t="str">
        <f aca="false">IF(A435="","",A435-WEEKDAY(A435,2)+1)</f>
        <v/>
      </c>
      <c r="H435" s="26" t="str">
        <f aca="false">IF(A435="","",DATE(YEAR(A435),MONTH(A435),1))</f>
        <v/>
      </c>
    </row>
    <row r="436" customFormat="false" ht="15" hidden="false" customHeight="false" outlineLevel="0" collapsed="false">
      <c r="A436" s="22"/>
      <c r="B436" s="23"/>
      <c r="C436" s="23"/>
      <c r="D436" s="24"/>
      <c r="E436" s="23"/>
      <c r="F436" s="15" t="str">
        <f aca="false">IF(B436="","",IFERROR(INDEX(Configurações!$B$7:$B$30,MATCH(B436,Configurações!$A$7:$A$30,0)),"?"))</f>
        <v/>
      </c>
      <c r="G436" s="25" t="str">
        <f aca="false">IF(A436="","",A436-WEEKDAY(A436,2)+1)</f>
        <v/>
      </c>
      <c r="H436" s="26" t="str">
        <f aca="false">IF(A436="","",DATE(YEAR(A436),MONTH(A436),1))</f>
        <v/>
      </c>
    </row>
    <row r="437" customFormat="false" ht="15" hidden="false" customHeight="false" outlineLevel="0" collapsed="false">
      <c r="A437" s="22"/>
      <c r="B437" s="23"/>
      <c r="C437" s="23"/>
      <c r="D437" s="24"/>
      <c r="E437" s="23"/>
      <c r="F437" s="15" t="str">
        <f aca="false">IF(B437="","",IFERROR(INDEX(Configurações!$B$7:$B$30,MATCH(B437,Configurações!$A$7:$A$30,0)),"?"))</f>
        <v/>
      </c>
      <c r="G437" s="25" t="str">
        <f aca="false">IF(A437="","",A437-WEEKDAY(A437,2)+1)</f>
        <v/>
      </c>
      <c r="H437" s="26" t="str">
        <f aca="false">IF(A437="","",DATE(YEAR(A437),MONTH(A437),1))</f>
        <v/>
      </c>
    </row>
    <row r="438" customFormat="false" ht="15" hidden="false" customHeight="false" outlineLevel="0" collapsed="false">
      <c r="A438" s="22"/>
      <c r="B438" s="23"/>
      <c r="C438" s="23"/>
      <c r="D438" s="24"/>
      <c r="E438" s="23"/>
      <c r="F438" s="15" t="str">
        <f aca="false">IF(B438="","",IFERROR(INDEX(Configurações!$B$7:$B$30,MATCH(B438,Configurações!$A$7:$A$30,0)),"?"))</f>
        <v/>
      </c>
      <c r="G438" s="25" t="str">
        <f aca="false">IF(A438="","",A438-WEEKDAY(A438,2)+1)</f>
        <v/>
      </c>
      <c r="H438" s="26" t="str">
        <f aca="false">IF(A438="","",DATE(YEAR(A438),MONTH(A438),1))</f>
        <v/>
      </c>
    </row>
    <row r="439" customFormat="false" ht="15" hidden="false" customHeight="false" outlineLevel="0" collapsed="false">
      <c r="A439" s="22"/>
      <c r="B439" s="23"/>
      <c r="C439" s="23"/>
      <c r="D439" s="24"/>
      <c r="E439" s="23"/>
      <c r="F439" s="15" t="str">
        <f aca="false">IF(B439="","",IFERROR(INDEX(Configurações!$B$7:$B$30,MATCH(B439,Configurações!$A$7:$A$30,0)),"?"))</f>
        <v/>
      </c>
      <c r="G439" s="25" t="str">
        <f aca="false">IF(A439="","",A439-WEEKDAY(A439,2)+1)</f>
        <v/>
      </c>
      <c r="H439" s="26" t="str">
        <f aca="false">IF(A439="","",DATE(YEAR(A439),MONTH(A439),1))</f>
        <v/>
      </c>
    </row>
    <row r="440" customFormat="false" ht="15" hidden="false" customHeight="false" outlineLevel="0" collapsed="false">
      <c r="A440" s="22"/>
      <c r="B440" s="23"/>
      <c r="C440" s="23"/>
      <c r="D440" s="24"/>
      <c r="E440" s="23"/>
      <c r="F440" s="15" t="str">
        <f aca="false">IF(B440="","",IFERROR(INDEX(Configurações!$B$7:$B$30,MATCH(B440,Configurações!$A$7:$A$30,0)),"?"))</f>
        <v/>
      </c>
      <c r="G440" s="25" t="str">
        <f aca="false">IF(A440="","",A440-WEEKDAY(A440,2)+1)</f>
        <v/>
      </c>
      <c r="H440" s="26" t="str">
        <f aca="false">IF(A440="","",DATE(YEAR(A440),MONTH(A440),1))</f>
        <v/>
      </c>
    </row>
    <row r="441" customFormat="false" ht="15" hidden="false" customHeight="false" outlineLevel="0" collapsed="false">
      <c r="A441" s="22"/>
      <c r="B441" s="23"/>
      <c r="C441" s="23"/>
      <c r="D441" s="24"/>
      <c r="E441" s="23"/>
      <c r="F441" s="15" t="str">
        <f aca="false">IF(B441="","",IFERROR(INDEX(Configurações!$B$7:$B$30,MATCH(B441,Configurações!$A$7:$A$30,0)),"?"))</f>
        <v/>
      </c>
      <c r="G441" s="25" t="str">
        <f aca="false">IF(A441="","",A441-WEEKDAY(A441,2)+1)</f>
        <v/>
      </c>
      <c r="H441" s="26" t="str">
        <f aca="false">IF(A441="","",DATE(YEAR(A441),MONTH(A441),1))</f>
        <v/>
      </c>
    </row>
    <row r="442" customFormat="false" ht="15" hidden="false" customHeight="false" outlineLevel="0" collapsed="false">
      <c r="A442" s="22"/>
      <c r="B442" s="23"/>
      <c r="C442" s="23"/>
      <c r="D442" s="24"/>
      <c r="E442" s="23"/>
      <c r="F442" s="15" t="str">
        <f aca="false">IF(B442="","",IFERROR(INDEX(Configurações!$B$7:$B$30,MATCH(B442,Configurações!$A$7:$A$30,0)),"?"))</f>
        <v/>
      </c>
      <c r="G442" s="25" t="str">
        <f aca="false">IF(A442="","",A442-WEEKDAY(A442,2)+1)</f>
        <v/>
      </c>
      <c r="H442" s="26" t="str">
        <f aca="false">IF(A442="","",DATE(YEAR(A442),MONTH(A442),1))</f>
        <v/>
      </c>
    </row>
    <row r="443" customFormat="false" ht="15" hidden="false" customHeight="false" outlineLevel="0" collapsed="false">
      <c r="A443" s="22"/>
      <c r="B443" s="23"/>
      <c r="C443" s="23"/>
      <c r="D443" s="24"/>
      <c r="E443" s="23"/>
      <c r="F443" s="15" t="str">
        <f aca="false">IF(B443="","",IFERROR(INDEX(Configurações!$B$7:$B$30,MATCH(B443,Configurações!$A$7:$A$30,0)),"?"))</f>
        <v/>
      </c>
      <c r="G443" s="25" t="str">
        <f aca="false">IF(A443="","",A443-WEEKDAY(A443,2)+1)</f>
        <v/>
      </c>
      <c r="H443" s="26" t="str">
        <f aca="false">IF(A443="","",DATE(YEAR(A443),MONTH(A443),1))</f>
        <v/>
      </c>
    </row>
    <row r="444" customFormat="false" ht="15" hidden="false" customHeight="false" outlineLevel="0" collapsed="false">
      <c r="A444" s="22"/>
      <c r="B444" s="23"/>
      <c r="C444" s="23"/>
      <c r="D444" s="24"/>
      <c r="E444" s="23"/>
      <c r="F444" s="15" t="str">
        <f aca="false">IF(B444="","",IFERROR(INDEX(Configurações!$B$7:$B$30,MATCH(B444,Configurações!$A$7:$A$30,0)),"?"))</f>
        <v/>
      </c>
      <c r="G444" s="25" t="str">
        <f aca="false">IF(A444="","",A444-WEEKDAY(A444,2)+1)</f>
        <v/>
      </c>
      <c r="H444" s="26" t="str">
        <f aca="false">IF(A444="","",DATE(YEAR(A444),MONTH(A444),1))</f>
        <v/>
      </c>
    </row>
    <row r="445" customFormat="false" ht="15" hidden="false" customHeight="false" outlineLevel="0" collapsed="false">
      <c r="A445" s="22"/>
      <c r="B445" s="23"/>
      <c r="C445" s="23"/>
      <c r="D445" s="24"/>
      <c r="E445" s="23"/>
      <c r="F445" s="15" t="str">
        <f aca="false">IF(B445="","",IFERROR(INDEX(Configurações!$B$7:$B$30,MATCH(B445,Configurações!$A$7:$A$30,0)),"?"))</f>
        <v/>
      </c>
      <c r="G445" s="25" t="str">
        <f aca="false">IF(A445="","",A445-WEEKDAY(A445,2)+1)</f>
        <v/>
      </c>
      <c r="H445" s="26" t="str">
        <f aca="false">IF(A445="","",DATE(YEAR(A445),MONTH(A445),1))</f>
        <v/>
      </c>
    </row>
    <row r="446" customFormat="false" ht="15" hidden="false" customHeight="false" outlineLevel="0" collapsed="false">
      <c r="A446" s="22"/>
      <c r="B446" s="23"/>
      <c r="C446" s="23"/>
      <c r="D446" s="24"/>
      <c r="E446" s="23"/>
      <c r="F446" s="15" t="str">
        <f aca="false">IF(B446="","",IFERROR(INDEX(Configurações!$B$7:$B$30,MATCH(B446,Configurações!$A$7:$A$30,0)),"?"))</f>
        <v/>
      </c>
      <c r="G446" s="25" t="str">
        <f aca="false">IF(A446="","",A446-WEEKDAY(A446,2)+1)</f>
        <v/>
      </c>
      <c r="H446" s="26" t="str">
        <f aca="false">IF(A446="","",DATE(YEAR(A446),MONTH(A446),1))</f>
        <v/>
      </c>
    </row>
    <row r="447" customFormat="false" ht="15" hidden="false" customHeight="false" outlineLevel="0" collapsed="false">
      <c r="A447" s="22"/>
      <c r="B447" s="23"/>
      <c r="C447" s="23"/>
      <c r="D447" s="24"/>
      <c r="E447" s="23"/>
      <c r="F447" s="15" t="str">
        <f aca="false">IF(B447="","",IFERROR(INDEX(Configurações!$B$7:$B$30,MATCH(B447,Configurações!$A$7:$A$30,0)),"?"))</f>
        <v/>
      </c>
      <c r="G447" s="25" t="str">
        <f aca="false">IF(A447="","",A447-WEEKDAY(A447,2)+1)</f>
        <v/>
      </c>
      <c r="H447" s="26" t="str">
        <f aca="false">IF(A447="","",DATE(YEAR(A447),MONTH(A447),1))</f>
        <v/>
      </c>
    </row>
    <row r="448" customFormat="false" ht="15" hidden="false" customHeight="false" outlineLevel="0" collapsed="false">
      <c r="A448" s="22"/>
      <c r="B448" s="23"/>
      <c r="C448" s="23"/>
      <c r="D448" s="24"/>
      <c r="E448" s="23"/>
      <c r="F448" s="15" t="str">
        <f aca="false">IF(B448="","",IFERROR(INDEX(Configurações!$B$7:$B$30,MATCH(B448,Configurações!$A$7:$A$30,0)),"?"))</f>
        <v/>
      </c>
      <c r="G448" s="25" t="str">
        <f aca="false">IF(A448="","",A448-WEEKDAY(A448,2)+1)</f>
        <v/>
      </c>
      <c r="H448" s="26" t="str">
        <f aca="false">IF(A448="","",DATE(YEAR(A448),MONTH(A448),1))</f>
        <v/>
      </c>
    </row>
    <row r="449" customFormat="false" ht="15" hidden="false" customHeight="false" outlineLevel="0" collapsed="false">
      <c r="A449" s="22"/>
      <c r="B449" s="23"/>
      <c r="C449" s="23"/>
      <c r="D449" s="24"/>
      <c r="E449" s="23"/>
      <c r="F449" s="15" t="str">
        <f aca="false">IF(B449="","",IFERROR(INDEX(Configurações!$B$7:$B$30,MATCH(B449,Configurações!$A$7:$A$30,0)),"?"))</f>
        <v/>
      </c>
      <c r="G449" s="25" t="str">
        <f aca="false">IF(A449="","",A449-WEEKDAY(A449,2)+1)</f>
        <v/>
      </c>
      <c r="H449" s="26" t="str">
        <f aca="false">IF(A449="","",DATE(YEAR(A449),MONTH(A449),1))</f>
        <v/>
      </c>
    </row>
    <row r="450" customFormat="false" ht="15" hidden="false" customHeight="false" outlineLevel="0" collapsed="false">
      <c r="A450" s="22"/>
      <c r="B450" s="23"/>
      <c r="C450" s="23"/>
      <c r="D450" s="24"/>
      <c r="E450" s="23"/>
      <c r="F450" s="15" t="str">
        <f aca="false">IF(B450="","",IFERROR(INDEX(Configurações!$B$7:$B$30,MATCH(B450,Configurações!$A$7:$A$30,0)),"?"))</f>
        <v/>
      </c>
      <c r="G450" s="25" t="str">
        <f aca="false">IF(A450="","",A450-WEEKDAY(A450,2)+1)</f>
        <v/>
      </c>
      <c r="H450" s="26" t="str">
        <f aca="false">IF(A450="","",DATE(YEAR(A450),MONTH(A450),1))</f>
        <v/>
      </c>
    </row>
    <row r="451" customFormat="false" ht="15" hidden="false" customHeight="false" outlineLevel="0" collapsed="false">
      <c r="A451" s="22"/>
      <c r="B451" s="23"/>
      <c r="C451" s="23"/>
      <c r="D451" s="24"/>
      <c r="E451" s="23"/>
      <c r="F451" s="15" t="str">
        <f aca="false">IF(B451="","",IFERROR(INDEX(Configurações!$B$7:$B$30,MATCH(B451,Configurações!$A$7:$A$30,0)),"?"))</f>
        <v/>
      </c>
      <c r="G451" s="25" t="str">
        <f aca="false">IF(A451="","",A451-WEEKDAY(A451,2)+1)</f>
        <v/>
      </c>
      <c r="H451" s="26" t="str">
        <f aca="false">IF(A451="","",DATE(YEAR(A451),MONTH(A451),1))</f>
        <v/>
      </c>
    </row>
    <row r="452" customFormat="false" ht="15" hidden="false" customHeight="false" outlineLevel="0" collapsed="false">
      <c r="A452" s="22"/>
      <c r="B452" s="23"/>
      <c r="C452" s="23"/>
      <c r="D452" s="24"/>
      <c r="E452" s="23"/>
      <c r="F452" s="15" t="str">
        <f aca="false">IF(B452="","",IFERROR(INDEX(Configurações!$B$7:$B$30,MATCH(B452,Configurações!$A$7:$A$30,0)),"?"))</f>
        <v/>
      </c>
      <c r="G452" s="25" t="str">
        <f aca="false">IF(A452="","",A452-WEEKDAY(A452,2)+1)</f>
        <v/>
      </c>
      <c r="H452" s="26" t="str">
        <f aca="false">IF(A452="","",DATE(YEAR(A452),MONTH(A452),1))</f>
        <v/>
      </c>
    </row>
    <row r="453" customFormat="false" ht="15" hidden="false" customHeight="false" outlineLevel="0" collapsed="false">
      <c r="A453" s="22"/>
      <c r="B453" s="23"/>
      <c r="C453" s="23"/>
      <c r="D453" s="24"/>
      <c r="E453" s="23"/>
      <c r="F453" s="15" t="str">
        <f aca="false">IF(B453="","",IFERROR(INDEX(Configurações!$B$7:$B$30,MATCH(B453,Configurações!$A$7:$A$30,0)),"?"))</f>
        <v/>
      </c>
      <c r="G453" s="25" t="str">
        <f aca="false">IF(A453="","",A453-WEEKDAY(A453,2)+1)</f>
        <v/>
      </c>
      <c r="H453" s="26" t="str">
        <f aca="false">IF(A453="","",DATE(YEAR(A453),MONTH(A453),1))</f>
        <v/>
      </c>
    </row>
    <row r="454" customFormat="false" ht="15" hidden="false" customHeight="false" outlineLevel="0" collapsed="false">
      <c r="A454" s="22"/>
      <c r="B454" s="23"/>
      <c r="C454" s="23"/>
      <c r="D454" s="24"/>
      <c r="E454" s="23"/>
      <c r="F454" s="15" t="str">
        <f aca="false">IF(B454="","",IFERROR(INDEX(Configurações!$B$7:$B$30,MATCH(B454,Configurações!$A$7:$A$30,0)),"?"))</f>
        <v/>
      </c>
      <c r="G454" s="25" t="str">
        <f aca="false">IF(A454="","",A454-WEEKDAY(A454,2)+1)</f>
        <v/>
      </c>
      <c r="H454" s="26" t="str">
        <f aca="false">IF(A454="","",DATE(YEAR(A454),MONTH(A454),1))</f>
        <v/>
      </c>
    </row>
    <row r="455" customFormat="false" ht="15" hidden="false" customHeight="false" outlineLevel="0" collapsed="false">
      <c r="A455" s="22"/>
      <c r="B455" s="23"/>
      <c r="C455" s="23"/>
      <c r="D455" s="24"/>
      <c r="E455" s="23"/>
      <c r="F455" s="15" t="str">
        <f aca="false">IF(B455="","",IFERROR(INDEX(Configurações!$B$7:$B$30,MATCH(B455,Configurações!$A$7:$A$30,0)),"?"))</f>
        <v/>
      </c>
      <c r="G455" s="25" t="str">
        <f aca="false">IF(A455="","",A455-WEEKDAY(A455,2)+1)</f>
        <v/>
      </c>
      <c r="H455" s="26" t="str">
        <f aca="false">IF(A455="","",DATE(YEAR(A455),MONTH(A455),1))</f>
        <v/>
      </c>
    </row>
    <row r="456" customFormat="false" ht="15" hidden="false" customHeight="false" outlineLevel="0" collapsed="false">
      <c r="A456" s="22"/>
      <c r="B456" s="23"/>
      <c r="C456" s="23"/>
      <c r="D456" s="24"/>
      <c r="E456" s="23"/>
      <c r="F456" s="15" t="str">
        <f aca="false">IF(B456="","",IFERROR(INDEX(Configurações!$B$7:$B$30,MATCH(B456,Configurações!$A$7:$A$30,0)),"?"))</f>
        <v/>
      </c>
      <c r="G456" s="25" t="str">
        <f aca="false">IF(A456="","",A456-WEEKDAY(A456,2)+1)</f>
        <v/>
      </c>
      <c r="H456" s="26" t="str">
        <f aca="false">IF(A456="","",DATE(YEAR(A456),MONTH(A456),1))</f>
        <v/>
      </c>
    </row>
    <row r="457" customFormat="false" ht="15" hidden="false" customHeight="false" outlineLevel="0" collapsed="false">
      <c r="A457" s="22"/>
      <c r="B457" s="23"/>
      <c r="C457" s="23"/>
      <c r="D457" s="24"/>
      <c r="E457" s="23"/>
      <c r="F457" s="15" t="str">
        <f aca="false">IF(B457="","",IFERROR(INDEX(Configurações!$B$7:$B$30,MATCH(B457,Configurações!$A$7:$A$30,0)),"?"))</f>
        <v/>
      </c>
      <c r="G457" s="25" t="str">
        <f aca="false">IF(A457="","",A457-WEEKDAY(A457,2)+1)</f>
        <v/>
      </c>
      <c r="H457" s="26" t="str">
        <f aca="false">IF(A457="","",DATE(YEAR(A457),MONTH(A457),1))</f>
        <v/>
      </c>
    </row>
    <row r="458" customFormat="false" ht="15" hidden="false" customHeight="false" outlineLevel="0" collapsed="false">
      <c r="A458" s="22"/>
      <c r="B458" s="23"/>
      <c r="C458" s="23"/>
      <c r="D458" s="24"/>
      <c r="E458" s="23"/>
      <c r="F458" s="15" t="str">
        <f aca="false">IF(B458="","",IFERROR(INDEX(Configurações!$B$7:$B$30,MATCH(B458,Configurações!$A$7:$A$30,0)),"?"))</f>
        <v/>
      </c>
      <c r="G458" s="25" t="str">
        <f aca="false">IF(A458="","",A458-WEEKDAY(A458,2)+1)</f>
        <v/>
      </c>
      <c r="H458" s="26" t="str">
        <f aca="false">IF(A458="","",DATE(YEAR(A458),MONTH(A458),1))</f>
        <v/>
      </c>
    </row>
    <row r="459" customFormat="false" ht="15" hidden="false" customHeight="false" outlineLevel="0" collapsed="false">
      <c r="A459" s="22"/>
      <c r="B459" s="23"/>
      <c r="C459" s="23"/>
      <c r="D459" s="24"/>
      <c r="E459" s="23"/>
      <c r="F459" s="15" t="str">
        <f aca="false">IF(B459="","",IFERROR(INDEX(Configurações!$B$7:$B$30,MATCH(B459,Configurações!$A$7:$A$30,0)),"?"))</f>
        <v/>
      </c>
      <c r="G459" s="25" t="str">
        <f aca="false">IF(A459="","",A459-WEEKDAY(A459,2)+1)</f>
        <v/>
      </c>
      <c r="H459" s="26" t="str">
        <f aca="false">IF(A459="","",DATE(YEAR(A459),MONTH(A459),1))</f>
        <v/>
      </c>
    </row>
    <row r="460" customFormat="false" ht="15" hidden="false" customHeight="false" outlineLevel="0" collapsed="false">
      <c r="A460" s="22"/>
      <c r="B460" s="23"/>
      <c r="C460" s="23"/>
      <c r="D460" s="24"/>
      <c r="E460" s="23"/>
      <c r="F460" s="15" t="str">
        <f aca="false">IF(B460="","",IFERROR(INDEX(Configurações!$B$7:$B$30,MATCH(B460,Configurações!$A$7:$A$30,0)),"?"))</f>
        <v/>
      </c>
      <c r="G460" s="25" t="str">
        <f aca="false">IF(A460="","",A460-WEEKDAY(A460,2)+1)</f>
        <v/>
      </c>
      <c r="H460" s="26" t="str">
        <f aca="false">IF(A460="","",DATE(YEAR(A460),MONTH(A460),1))</f>
        <v/>
      </c>
    </row>
    <row r="461" customFormat="false" ht="15" hidden="false" customHeight="false" outlineLevel="0" collapsed="false">
      <c r="A461" s="22"/>
      <c r="B461" s="23"/>
      <c r="C461" s="23"/>
      <c r="D461" s="24"/>
      <c r="E461" s="23"/>
      <c r="F461" s="15" t="str">
        <f aca="false">IF(B461="","",IFERROR(INDEX(Configurações!$B$7:$B$30,MATCH(B461,Configurações!$A$7:$A$30,0)),"?"))</f>
        <v/>
      </c>
      <c r="G461" s="25" t="str">
        <f aca="false">IF(A461="","",A461-WEEKDAY(A461,2)+1)</f>
        <v/>
      </c>
      <c r="H461" s="26" t="str">
        <f aca="false">IF(A461="","",DATE(YEAR(A461),MONTH(A461),1))</f>
        <v/>
      </c>
    </row>
    <row r="462" customFormat="false" ht="15" hidden="false" customHeight="false" outlineLevel="0" collapsed="false">
      <c r="A462" s="22"/>
      <c r="B462" s="23"/>
      <c r="C462" s="23"/>
      <c r="D462" s="24"/>
      <c r="E462" s="23"/>
      <c r="F462" s="15" t="str">
        <f aca="false">IF(B462="","",IFERROR(INDEX(Configurações!$B$7:$B$30,MATCH(B462,Configurações!$A$7:$A$30,0)),"?"))</f>
        <v/>
      </c>
      <c r="G462" s="25" t="str">
        <f aca="false">IF(A462="","",A462-WEEKDAY(A462,2)+1)</f>
        <v/>
      </c>
      <c r="H462" s="26" t="str">
        <f aca="false">IF(A462="","",DATE(YEAR(A462),MONTH(A462),1))</f>
        <v/>
      </c>
    </row>
    <row r="463" customFormat="false" ht="15" hidden="false" customHeight="false" outlineLevel="0" collapsed="false">
      <c r="A463" s="22"/>
      <c r="B463" s="23"/>
      <c r="C463" s="23"/>
      <c r="D463" s="24"/>
      <c r="E463" s="23"/>
      <c r="F463" s="15" t="str">
        <f aca="false">IF(B463="","",IFERROR(INDEX(Configurações!$B$7:$B$30,MATCH(B463,Configurações!$A$7:$A$30,0)),"?"))</f>
        <v/>
      </c>
      <c r="G463" s="25" t="str">
        <f aca="false">IF(A463="","",A463-WEEKDAY(A463,2)+1)</f>
        <v/>
      </c>
      <c r="H463" s="26" t="str">
        <f aca="false">IF(A463="","",DATE(YEAR(A463),MONTH(A463),1))</f>
        <v/>
      </c>
    </row>
    <row r="464" customFormat="false" ht="15" hidden="false" customHeight="false" outlineLevel="0" collapsed="false">
      <c r="A464" s="22"/>
      <c r="B464" s="23"/>
      <c r="C464" s="23"/>
      <c r="D464" s="24"/>
      <c r="E464" s="23"/>
      <c r="F464" s="15" t="str">
        <f aca="false">IF(B464="","",IFERROR(INDEX(Configurações!$B$7:$B$30,MATCH(B464,Configurações!$A$7:$A$30,0)),"?"))</f>
        <v/>
      </c>
      <c r="G464" s="25" t="str">
        <f aca="false">IF(A464="","",A464-WEEKDAY(A464,2)+1)</f>
        <v/>
      </c>
      <c r="H464" s="26" t="str">
        <f aca="false">IF(A464="","",DATE(YEAR(A464),MONTH(A464),1))</f>
        <v/>
      </c>
    </row>
    <row r="465" customFormat="false" ht="15" hidden="false" customHeight="false" outlineLevel="0" collapsed="false">
      <c r="A465" s="22"/>
      <c r="B465" s="23"/>
      <c r="C465" s="23"/>
      <c r="D465" s="24"/>
      <c r="E465" s="23"/>
      <c r="F465" s="15" t="str">
        <f aca="false">IF(B465="","",IFERROR(INDEX(Configurações!$B$7:$B$30,MATCH(B465,Configurações!$A$7:$A$30,0)),"?"))</f>
        <v/>
      </c>
      <c r="G465" s="25" t="str">
        <f aca="false">IF(A465="","",A465-WEEKDAY(A465,2)+1)</f>
        <v/>
      </c>
      <c r="H465" s="26" t="str">
        <f aca="false">IF(A465="","",DATE(YEAR(A465),MONTH(A465),1))</f>
        <v/>
      </c>
    </row>
    <row r="466" customFormat="false" ht="15" hidden="false" customHeight="false" outlineLevel="0" collapsed="false">
      <c r="A466" s="22"/>
      <c r="B466" s="23"/>
      <c r="C466" s="23"/>
      <c r="D466" s="24"/>
      <c r="E466" s="23"/>
      <c r="F466" s="15" t="str">
        <f aca="false">IF(B466="","",IFERROR(INDEX(Configurações!$B$7:$B$30,MATCH(B466,Configurações!$A$7:$A$30,0)),"?"))</f>
        <v/>
      </c>
      <c r="G466" s="25" t="str">
        <f aca="false">IF(A466="","",A466-WEEKDAY(A466,2)+1)</f>
        <v/>
      </c>
      <c r="H466" s="26" t="str">
        <f aca="false">IF(A466="","",DATE(YEAR(A466),MONTH(A466),1))</f>
        <v/>
      </c>
    </row>
    <row r="467" customFormat="false" ht="15" hidden="false" customHeight="false" outlineLevel="0" collapsed="false">
      <c r="A467" s="22"/>
      <c r="B467" s="23"/>
      <c r="C467" s="23"/>
      <c r="D467" s="24"/>
      <c r="E467" s="23"/>
      <c r="F467" s="15" t="str">
        <f aca="false">IF(B467="","",IFERROR(INDEX(Configurações!$B$7:$B$30,MATCH(B467,Configurações!$A$7:$A$30,0)),"?"))</f>
        <v/>
      </c>
      <c r="G467" s="25" t="str">
        <f aca="false">IF(A467="","",A467-WEEKDAY(A467,2)+1)</f>
        <v/>
      </c>
      <c r="H467" s="26" t="str">
        <f aca="false">IF(A467="","",DATE(YEAR(A467),MONTH(A467),1))</f>
        <v/>
      </c>
    </row>
    <row r="468" customFormat="false" ht="15" hidden="false" customHeight="false" outlineLevel="0" collapsed="false">
      <c r="A468" s="22"/>
      <c r="B468" s="23"/>
      <c r="C468" s="23"/>
      <c r="D468" s="24"/>
      <c r="E468" s="23"/>
      <c r="F468" s="15" t="str">
        <f aca="false">IF(B468="","",IFERROR(INDEX(Configurações!$B$7:$B$30,MATCH(B468,Configurações!$A$7:$A$30,0)),"?"))</f>
        <v/>
      </c>
      <c r="G468" s="25" t="str">
        <f aca="false">IF(A468="","",A468-WEEKDAY(A468,2)+1)</f>
        <v/>
      </c>
      <c r="H468" s="26" t="str">
        <f aca="false">IF(A468="","",DATE(YEAR(A468),MONTH(A468),1))</f>
        <v/>
      </c>
    </row>
    <row r="469" customFormat="false" ht="15" hidden="false" customHeight="false" outlineLevel="0" collapsed="false">
      <c r="A469" s="22"/>
      <c r="B469" s="23"/>
      <c r="C469" s="23"/>
      <c r="D469" s="24"/>
      <c r="E469" s="23"/>
      <c r="F469" s="15" t="str">
        <f aca="false">IF(B469="","",IFERROR(INDEX(Configurações!$B$7:$B$30,MATCH(B469,Configurações!$A$7:$A$30,0)),"?"))</f>
        <v/>
      </c>
      <c r="G469" s="25" t="str">
        <f aca="false">IF(A469="","",A469-WEEKDAY(A469,2)+1)</f>
        <v/>
      </c>
      <c r="H469" s="26" t="str">
        <f aca="false">IF(A469="","",DATE(YEAR(A469),MONTH(A469),1))</f>
        <v/>
      </c>
    </row>
    <row r="470" customFormat="false" ht="15" hidden="false" customHeight="false" outlineLevel="0" collapsed="false">
      <c r="A470" s="22"/>
      <c r="B470" s="23"/>
      <c r="C470" s="23"/>
      <c r="D470" s="24"/>
      <c r="E470" s="23"/>
      <c r="F470" s="15" t="str">
        <f aca="false">IF(B470="","",IFERROR(INDEX(Configurações!$B$7:$B$30,MATCH(B470,Configurações!$A$7:$A$30,0)),"?"))</f>
        <v/>
      </c>
      <c r="G470" s="25" t="str">
        <f aca="false">IF(A470="","",A470-WEEKDAY(A470,2)+1)</f>
        <v/>
      </c>
      <c r="H470" s="26" t="str">
        <f aca="false">IF(A470="","",DATE(YEAR(A470),MONTH(A470),1))</f>
        <v/>
      </c>
    </row>
    <row r="471" customFormat="false" ht="15" hidden="false" customHeight="false" outlineLevel="0" collapsed="false">
      <c r="A471" s="22"/>
      <c r="B471" s="23"/>
      <c r="C471" s="23"/>
      <c r="D471" s="24"/>
      <c r="E471" s="23"/>
      <c r="F471" s="15" t="str">
        <f aca="false">IF(B471="","",IFERROR(INDEX(Configurações!$B$7:$B$30,MATCH(B471,Configurações!$A$7:$A$30,0)),"?"))</f>
        <v/>
      </c>
      <c r="G471" s="25" t="str">
        <f aca="false">IF(A471="","",A471-WEEKDAY(A471,2)+1)</f>
        <v/>
      </c>
      <c r="H471" s="26" t="str">
        <f aca="false">IF(A471="","",DATE(YEAR(A471),MONTH(A471),1))</f>
        <v/>
      </c>
    </row>
    <row r="472" customFormat="false" ht="15" hidden="false" customHeight="false" outlineLevel="0" collapsed="false">
      <c r="A472" s="22"/>
      <c r="B472" s="23"/>
      <c r="C472" s="23"/>
      <c r="D472" s="24"/>
      <c r="E472" s="23"/>
      <c r="F472" s="15" t="str">
        <f aca="false">IF(B472="","",IFERROR(INDEX(Configurações!$B$7:$B$30,MATCH(B472,Configurações!$A$7:$A$30,0)),"?"))</f>
        <v/>
      </c>
      <c r="G472" s="25" t="str">
        <f aca="false">IF(A472="","",A472-WEEKDAY(A472,2)+1)</f>
        <v/>
      </c>
      <c r="H472" s="26" t="str">
        <f aca="false">IF(A472="","",DATE(YEAR(A472),MONTH(A472),1))</f>
        <v/>
      </c>
    </row>
    <row r="473" customFormat="false" ht="15" hidden="false" customHeight="false" outlineLevel="0" collapsed="false">
      <c r="A473" s="22"/>
      <c r="B473" s="23"/>
      <c r="C473" s="23"/>
      <c r="D473" s="24"/>
      <c r="E473" s="23"/>
      <c r="F473" s="15" t="str">
        <f aca="false">IF(B473="","",IFERROR(INDEX(Configurações!$B$7:$B$30,MATCH(B473,Configurações!$A$7:$A$30,0)),"?"))</f>
        <v/>
      </c>
      <c r="G473" s="25" t="str">
        <f aca="false">IF(A473="","",A473-WEEKDAY(A473,2)+1)</f>
        <v/>
      </c>
      <c r="H473" s="26" t="str">
        <f aca="false">IF(A473="","",DATE(YEAR(A473),MONTH(A473),1))</f>
        <v/>
      </c>
    </row>
    <row r="474" customFormat="false" ht="15" hidden="false" customHeight="false" outlineLevel="0" collapsed="false">
      <c r="A474" s="22"/>
      <c r="B474" s="23"/>
      <c r="C474" s="23"/>
      <c r="D474" s="24"/>
      <c r="E474" s="23"/>
      <c r="F474" s="15" t="str">
        <f aca="false">IF(B474="","",IFERROR(INDEX(Configurações!$B$7:$B$30,MATCH(B474,Configurações!$A$7:$A$30,0)),"?"))</f>
        <v/>
      </c>
      <c r="G474" s="25" t="str">
        <f aca="false">IF(A474="","",A474-WEEKDAY(A474,2)+1)</f>
        <v/>
      </c>
      <c r="H474" s="26" t="str">
        <f aca="false">IF(A474="","",DATE(YEAR(A474),MONTH(A474),1))</f>
        <v/>
      </c>
    </row>
    <row r="475" customFormat="false" ht="15" hidden="false" customHeight="false" outlineLevel="0" collapsed="false">
      <c r="A475" s="22"/>
      <c r="B475" s="23"/>
      <c r="C475" s="23"/>
      <c r="D475" s="24"/>
      <c r="E475" s="23"/>
      <c r="F475" s="15" t="str">
        <f aca="false">IF(B475="","",IFERROR(INDEX(Configurações!$B$7:$B$30,MATCH(B475,Configurações!$A$7:$A$30,0)),"?"))</f>
        <v/>
      </c>
      <c r="G475" s="25" t="str">
        <f aca="false">IF(A475="","",A475-WEEKDAY(A475,2)+1)</f>
        <v/>
      </c>
      <c r="H475" s="26" t="str">
        <f aca="false">IF(A475="","",DATE(YEAR(A475),MONTH(A475),1))</f>
        <v/>
      </c>
    </row>
    <row r="476" customFormat="false" ht="15" hidden="false" customHeight="false" outlineLevel="0" collapsed="false">
      <c r="A476" s="22"/>
      <c r="B476" s="23"/>
      <c r="C476" s="23"/>
      <c r="D476" s="24"/>
      <c r="E476" s="23"/>
      <c r="F476" s="15" t="str">
        <f aca="false">IF(B476="","",IFERROR(INDEX(Configurações!$B$7:$B$30,MATCH(B476,Configurações!$A$7:$A$30,0)),"?"))</f>
        <v/>
      </c>
      <c r="G476" s="25" t="str">
        <f aca="false">IF(A476="","",A476-WEEKDAY(A476,2)+1)</f>
        <v/>
      </c>
      <c r="H476" s="26" t="str">
        <f aca="false">IF(A476="","",DATE(YEAR(A476),MONTH(A476),1))</f>
        <v/>
      </c>
    </row>
    <row r="477" customFormat="false" ht="15" hidden="false" customHeight="false" outlineLevel="0" collapsed="false">
      <c r="A477" s="22"/>
      <c r="B477" s="23"/>
      <c r="C477" s="23"/>
      <c r="D477" s="24"/>
      <c r="E477" s="23"/>
      <c r="F477" s="15" t="str">
        <f aca="false">IF(B477="","",IFERROR(INDEX(Configurações!$B$7:$B$30,MATCH(B477,Configurações!$A$7:$A$30,0)),"?"))</f>
        <v/>
      </c>
      <c r="G477" s="25" t="str">
        <f aca="false">IF(A477="","",A477-WEEKDAY(A477,2)+1)</f>
        <v/>
      </c>
      <c r="H477" s="26" t="str">
        <f aca="false">IF(A477="","",DATE(YEAR(A477),MONTH(A477),1))</f>
        <v/>
      </c>
    </row>
    <row r="478" customFormat="false" ht="15" hidden="false" customHeight="false" outlineLevel="0" collapsed="false">
      <c r="A478" s="22"/>
      <c r="B478" s="23"/>
      <c r="C478" s="23"/>
      <c r="D478" s="24"/>
      <c r="E478" s="23"/>
      <c r="F478" s="15" t="str">
        <f aca="false">IF(B478="","",IFERROR(INDEX(Configurações!$B$7:$B$30,MATCH(B478,Configurações!$A$7:$A$30,0)),"?"))</f>
        <v/>
      </c>
      <c r="G478" s="25" t="str">
        <f aca="false">IF(A478="","",A478-WEEKDAY(A478,2)+1)</f>
        <v/>
      </c>
      <c r="H478" s="26" t="str">
        <f aca="false">IF(A478="","",DATE(YEAR(A478),MONTH(A478),1))</f>
        <v/>
      </c>
    </row>
    <row r="479" customFormat="false" ht="15" hidden="false" customHeight="false" outlineLevel="0" collapsed="false">
      <c r="A479" s="22"/>
      <c r="B479" s="23"/>
      <c r="C479" s="23"/>
      <c r="D479" s="24"/>
      <c r="E479" s="23"/>
      <c r="F479" s="15" t="str">
        <f aca="false">IF(B479="","",IFERROR(INDEX(Configurações!$B$7:$B$30,MATCH(B479,Configurações!$A$7:$A$30,0)),"?"))</f>
        <v/>
      </c>
      <c r="G479" s="25" t="str">
        <f aca="false">IF(A479="","",A479-WEEKDAY(A479,2)+1)</f>
        <v/>
      </c>
      <c r="H479" s="26" t="str">
        <f aca="false">IF(A479="","",DATE(YEAR(A479),MONTH(A479),1))</f>
        <v/>
      </c>
    </row>
    <row r="480" customFormat="false" ht="15" hidden="false" customHeight="false" outlineLevel="0" collapsed="false">
      <c r="A480" s="22"/>
      <c r="B480" s="23"/>
      <c r="C480" s="23"/>
      <c r="D480" s="24"/>
      <c r="E480" s="23"/>
      <c r="F480" s="15" t="str">
        <f aca="false">IF(B480="","",IFERROR(INDEX(Configurações!$B$7:$B$30,MATCH(B480,Configurações!$A$7:$A$30,0)),"?"))</f>
        <v/>
      </c>
      <c r="G480" s="25" t="str">
        <f aca="false">IF(A480="","",A480-WEEKDAY(A480,2)+1)</f>
        <v/>
      </c>
      <c r="H480" s="26" t="str">
        <f aca="false">IF(A480="","",DATE(YEAR(A480),MONTH(A480),1))</f>
        <v/>
      </c>
    </row>
    <row r="481" customFormat="false" ht="15" hidden="false" customHeight="false" outlineLevel="0" collapsed="false">
      <c r="A481" s="22"/>
      <c r="B481" s="23"/>
      <c r="C481" s="23"/>
      <c r="D481" s="24"/>
      <c r="E481" s="23"/>
      <c r="F481" s="15" t="str">
        <f aca="false">IF(B481="","",IFERROR(INDEX(Configurações!$B$7:$B$30,MATCH(B481,Configurações!$A$7:$A$30,0)),"?"))</f>
        <v/>
      </c>
      <c r="G481" s="25" t="str">
        <f aca="false">IF(A481="","",A481-WEEKDAY(A481,2)+1)</f>
        <v/>
      </c>
      <c r="H481" s="26" t="str">
        <f aca="false">IF(A481="","",DATE(YEAR(A481),MONTH(A481),1))</f>
        <v/>
      </c>
    </row>
    <row r="482" customFormat="false" ht="15" hidden="false" customHeight="false" outlineLevel="0" collapsed="false">
      <c r="A482" s="22"/>
      <c r="B482" s="23"/>
      <c r="C482" s="23"/>
      <c r="D482" s="24"/>
      <c r="E482" s="23"/>
      <c r="F482" s="15" t="str">
        <f aca="false">IF(B482="","",IFERROR(INDEX(Configurações!$B$7:$B$30,MATCH(B482,Configurações!$A$7:$A$30,0)),"?"))</f>
        <v/>
      </c>
      <c r="G482" s="25" t="str">
        <f aca="false">IF(A482="","",A482-WEEKDAY(A482,2)+1)</f>
        <v/>
      </c>
      <c r="H482" s="26" t="str">
        <f aca="false">IF(A482="","",DATE(YEAR(A482),MONTH(A482),1))</f>
        <v/>
      </c>
    </row>
    <row r="483" customFormat="false" ht="15" hidden="false" customHeight="false" outlineLevel="0" collapsed="false">
      <c r="A483" s="22"/>
      <c r="B483" s="23"/>
      <c r="C483" s="23"/>
      <c r="D483" s="24"/>
      <c r="E483" s="23"/>
      <c r="F483" s="15" t="str">
        <f aca="false">IF(B483="","",IFERROR(INDEX(Configurações!$B$7:$B$30,MATCH(B483,Configurações!$A$7:$A$30,0)),"?"))</f>
        <v/>
      </c>
      <c r="G483" s="25" t="str">
        <f aca="false">IF(A483="","",A483-WEEKDAY(A483,2)+1)</f>
        <v/>
      </c>
      <c r="H483" s="26" t="str">
        <f aca="false">IF(A483="","",DATE(YEAR(A483),MONTH(A483),1))</f>
        <v/>
      </c>
    </row>
    <row r="484" customFormat="false" ht="15" hidden="false" customHeight="false" outlineLevel="0" collapsed="false">
      <c r="A484" s="22"/>
      <c r="B484" s="23"/>
      <c r="C484" s="23"/>
      <c r="D484" s="24"/>
      <c r="E484" s="23"/>
      <c r="F484" s="15" t="str">
        <f aca="false">IF(B484="","",IFERROR(INDEX(Configurações!$B$7:$B$30,MATCH(B484,Configurações!$A$7:$A$30,0)),"?"))</f>
        <v/>
      </c>
      <c r="G484" s="25" t="str">
        <f aca="false">IF(A484="","",A484-WEEKDAY(A484,2)+1)</f>
        <v/>
      </c>
      <c r="H484" s="26" t="str">
        <f aca="false">IF(A484="","",DATE(YEAR(A484),MONTH(A484),1))</f>
        <v/>
      </c>
    </row>
    <row r="485" customFormat="false" ht="15" hidden="false" customHeight="false" outlineLevel="0" collapsed="false">
      <c r="A485" s="22"/>
      <c r="B485" s="23"/>
      <c r="C485" s="23"/>
      <c r="D485" s="24"/>
      <c r="E485" s="23"/>
      <c r="F485" s="15" t="str">
        <f aca="false">IF(B485="","",IFERROR(INDEX(Configurações!$B$7:$B$30,MATCH(B485,Configurações!$A$7:$A$30,0)),"?"))</f>
        <v/>
      </c>
      <c r="G485" s="25" t="str">
        <f aca="false">IF(A485="","",A485-WEEKDAY(A485,2)+1)</f>
        <v/>
      </c>
      <c r="H485" s="26" t="str">
        <f aca="false">IF(A485="","",DATE(YEAR(A485),MONTH(A485),1))</f>
        <v/>
      </c>
    </row>
    <row r="486" customFormat="false" ht="15" hidden="false" customHeight="false" outlineLevel="0" collapsed="false">
      <c r="A486" s="22"/>
      <c r="B486" s="23"/>
      <c r="C486" s="23"/>
      <c r="D486" s="24"/>
      <c r="E486" s="23"/>
      <c r="F486" s="15" t="str">
        <f aca="false">IF(B486="","",IFERROR(INDEX(Configurações!$B$7:$B$30,MATCH(B486,Configurações!$A$7:$A$30,0)),"?"))</f>
        <v/>
      </c>
      <c r="G486" s="25" t="str">
        <f aca="false">IF(A486="","",A486-WEEKDAY(A486,2)+1)</f>
        <v/>
      </c>
      <c r="H486" s="26" t="str">
        <f aca="false">IF(A486="","",DATE(YEAR(A486),MONTH(A486),1))</f>
        <v/>
      </c>
    </row>
    <row r="487" customFormat="false" ht="15" hidden="false" customHeight="false" outlineLevel="0" collapsed="false">
      <c r="A487" s="22"/>
      <c r="B487" s="23"/>
      <c r="C487" s="23"/>
      <c r="D487" s="24"/>
      <c r="E487" s="23"/>
      <c r="F487" s="15" t="str">
        <f aca="false">IF(B487="","",IFERROR(INDEX(Configurações!$B$7:$B$30,MATCH(B487,Configurações!$A$7:$A$30,0)),"?"))</f>
        <v/>
      </c>
      <c r="G487" s="25" t="str">
        <f aca="false">IF(A487="","",A487-WEEKDAY(A487,2)+1)</f>
        <v/>
      </c>
      <c r="H487" s="26" t="str">
        <f aca="false">IF(A487="","",DATE(YEAR(A487),MONTH(A487),1))</f>
        <v/>
      </c>
    </row>
    <row r="488" customFormat="false" ht="15" hidden="false" customHeight="false" outlineLevel="0" collapsed="false">
      <c r="A488" s="22"/>
      <c r="B488" s="23"/>
      <c r="C488" s="23"/>
      <c r="D488" s="24"/>
      <c r="E488" s="23"/>
      <c r="F488" s="15" t="str">
        <f aca="false">IF(B488="","",IFERROR(INDEX(Configurações!$B$7:$B$30,MATCH(B488,Configurações!$A$7:$A$30,0)),"?"))</f>
        <v/>
      </c>
      <c r="G488" s="25" t="str">
        <f aca="false">IF(A488="","",A488-WEEKDAY(A488,2)+1)</f>
        <v/>
      </c>
      <c r="H488" s="26" t="str">
        <f aca="false">IF(A488="","",DATE(YEAR(A488),MONTH(A488),1))</f>
        <v/>
      </c>
    </row>
    <row r="489" customFormat="false" ht="15" hidden="false" customHeight="false" outlineLevel="0" collapsed="false">
      <c r="A489" s="22"/>
      <c r="B489" s="23"/>
      <c r="C489" s="23"/>
      <c r="D489" s="24"/>
      <c r="E489" s="23"/>
      <c r="F489" s="15" t="str">
        <f aca="false">IF(B489="","",IFERROR(INDEX(Configurações!$B$7:$B$30,MATCH(B489,Configurações!$A$7:$A$30,0)),"?"))</f>
        <v/>
      </c>
      <c r="G489" s="25" t="str">
        <f aca="false">IF(A489="","",A489-WEEKDAY(A489,2)+1)</f>
        <v/>
      </c>
      <c r="H489" s="26" t="str">
        <f aca="false">IF(A489="","",DATE(YEAR(A489),MONTH(A489),1))</f>
        <v/>
      </c>
    </row>
    <row r="490" customFormat="false" ht="15" hidden="false" customHeight="false" outlineLevel="0" collapsed="false">
      <c r="A490" s="22"/>
      <c r="B490" s="23"/>
      <c r="C490" s="23"/>
      <c r="D490" s="24"/>
      <c r="E490" s="23"/>
      <c r="F490" s="15" t="str">
        <f aca="false">IF(B490="","",IFERROR(INDEX(Configurações!$B$7:$B$30,MATCH(B490,Configurações!$A$7:$A$30,0)),"?"))</f>
        <v/>
      </c>
      <c r="G490" s="25" t="str">
        <f aca="false">IF(A490="","",A490-WEEKDAY(A490,2)+1)</f>
        <v/>
      </c>
      <c r="H490" s="26" t="str">
        <f aca="false">IF(A490="","",DATE(YEAR(A490),MONTH(A490),1))</f>
        <v/>
      </c>
    </row>
    <row r="491" customFormat="false" ht="15" hidden="false" customHeight="false" outlineLevel="0" collapsed="false">
      <c r="A491" s="22"/>
      <c r="B491" s="23"/>
      <c r="C491" s="23"/>
      <c r="D491" s="24"/>
      <c r="E491" s="23"/>
      <c r="F491" s="15" t="str">
        <f aca="false">IF(B491="","",IFERROR(INDEX(Configurações!$B$7:$B$30,MATCH(B491,Configurações!$A$7:$A$30,0)),"?"))</f>
        <v/>
      </c>
      <c r="G491" s="25" t="str">
        <f aca="false">IF(A491="","",A491-WEEKDAY(A491,2)+1)</f>
        <v/>
      </c>
      <c r="H491" s="26" t="str">
        <f aca="false">IF(A491="","",DATE(YEAR(A491),MONTH(A491),1))</f>
        <v/>
      </c>
    </row>
    <row r="492" customFormat="false" ht="15" hidden="false" customHeight="false" outlineLevel="0" collapsed="false">
      <c r="A492" s="22"/>
      <c r="B492" s="23"/>
      <c r="C492" s="23"/>
      <c r="D492" s="24"/>
      <c r="E492" s="23"/>
      <c r="F492" s="15" t="str">
        <f aca="false">IF(B492="","",IFERROR(INDEX(Configurações!$B$7:$B$30,MATCH(B492,Configurações!$A$7:$A$30,0)),"?"))</f>
        <v/>
      </c>
      <c r="G492" s="25" t="str">
        <f aca="false">IF(A492="","",A492-WEEKDAY(A492,2)+1)</f>
        <v/>
      </c>
      <c r="H492" s="26" t="str">
        <f aca="false">IF(A492="","",DATE(YEAR(A492),MONTH(A492),1))</f>
        <v/>
      </c>
    </row>
    <row r="493" customFormat="false" ht="15" hidden="false" customHeight="false" outlineLevel="0" collapsed="false">
      <c r="A493" s="22"/>
      <c r="B493" s="23"/>
      <c r="C493" s="23"/>
      <c r="D493" s="24"/>
      <c r="E493" s="23"/>
      <c r="F493" s="15" t="str">
        <f aca="false">IF(B493="","",IFERROR(INDEX(Configurações!$B$7:$B$30,MATCH(B493,Configurações!$A$7:$A$30,0)),"?"))</f>
        <v/>
      </c>
      <c r="G493" s="25" t="str">
        <f aca="false">IF(A493="","",A493-WEEKDAY(A493,2)+1)</f>
        <v/>
      </c>
      <c r="H493" s="26" t="str">
        <f aca="false">IF(A493="","",DATE(YEAR(A493),MONTH(A493),1))</f>
        <v/>
      </c>
    </row>
    <row r="494" customFormat="false" ht="15" hidden="false" customHeight="false" outlineLevel="0" collapsed="false">
      <c r="A494" s="22"/>
      <c r="B494" s="23"/>
      <c r="C494" s="23"/>
      <c r="D494" s="24"/>
      <c r="E494" s="23"/>
      <c r="F494" s="15" t="str">
        <f aca="false">IF(B494="","",IFERROR(INDEX(Configurações!$B$7:$B$30,MATCH(B494,Configurações!$A$7:$A$30,0)),"?"))</f>
        <v/>
      </c>
      <c r="G494" s="25" t="str">
        <f aca="false">IF(A494="","",A494-WEEKDAY(A494,2)+1)</f>
        <v/>
      </c>
      <c r="H494" s="26" t="str">
        <f aca="false">IF(A494="","",DATE(YEAR(A494),MONTH(A494),1))</f>
        <v/>
      </c>
    </row>
    <row r="495" customFormat="false" ht="15" hidden="false" customHeight="false" outlineLevel="0" collapsed="false">
      <c r="A495" s="22"/>
      <c r="B495" s="23"/>
      <c r="C495" s="23"/>
      <c r="D495" s="24"/>
      <c r="E495" s="23"/>
      <c r="F495" s="15" t="str">
        <f aca="false">IF(B495="","",IFERROR(INDEX(Configurações!$B$7:$B$30,MATCH(B495,Configurações!$A$7:$A$30,0)),"?"))</f>
        <v/>
      </c>
      <c r="G495" s="25" t="str">
        <f aca="false">IF(A495="","",A495-WEEKDAY(A495,2)+1)</f>
        <v/>
      </c>
      <c r="H495" s="26" t="str">
        <f aca="false">IF(A495="","",DATE(YEAR(A495),MONTH(A495),1))</f>
        <v/>
      </c>
    </row>
    <row r="496" customFormat="false" ht="15" hidden="false" customHeight="false" outlineLevel="0" collapsed="false">
      <c r="A496" s="22"/>
      <c r="B496" s="23"/>
      <c r="C496" s="23"/>
      <c r="D496" s="24"/>
      <c r="E496" s="23"/>
      <c r="F496" s="15" t="str">
        <f aca="false">IF(B496="","",IFERROR(INDEX(Configurações!$B$7:$B$30,MATCH(B496,Configurações!$A$7:$A$30,0)),"?"))</f>
        <v/>
      </c>
      <c r="G496" s="25" t="str">
        <f aca="false">IF(A496="","",A496-WEEKDAY(A496,2)+1)</f>
        <v/>
      </c>
      <c r="H496" s="26" t="str">
        <f aca="false">IF(A496="","",DATE(YEAR(A496),MONTH(A496),1))</f>
        <v/>
      </c>
    </row>
    <row r="497" customFormat="false" ht="15" hidden="false" customHeight="false" outlineLevel="0" collapsed="false">
      <c r="A497" s="22"/>
      <c r="B497" s="23"/>
      <c r="C497" s="23"/>
      <c r="D497" s="24"/>
      <c r="E497" s="23"/>
      <c r="F497" s="15" t="str">
        <f aca="false">IF(B497="","",IFERROR(INDEX(Configurações!$B$7:$B$30,MATCH(B497,Configurações!$A$7:$A$30,0)),"?"))</f>
        <v/>
      </c>
      <c r="G497" s="25" t="str">
        <f aca="false">IF(A497="","",A497-WEEKDAY(A497,2)+1)</f>
        <v/>
      </c>
      <c r="H497" s="26" t="str">
        <f aca="false">IF(A497="","",DATE(YEAR(A497),MONTH(A497),1))</f>
        <v/>
      </c>
    </row>
    <row r="498" customFormat="false" ht="15" hidden="false" customHeight="false" outlineLevel="0" collapsed="false">
      <c r="A498" s="22"/>
      <c r="B498" s="23"/>
      <c r="C498" s="23"/>
      <c r="D498" s="24"/>
      <c r="E498" s="23"/>
      <c r="F498" s="15" t="str">
        <f aca="false">IF(B498="","",IFERROR(INDEX(Configurações!$B$7:$B$30,MATCH(B498,Configurações!$A$7:$A$30,0)),"?"))</f>
        <v/>
      </c>
      <c r="G498" s="25" t="str">
        <f aca="false">IF(A498="","",A498-WEEKDAY(A498,2)+1)</f>
        <v/>
      </c>
      <c r="H498" s="26" t="str">
        <f aca="false">IF(A498="","",DATE(YEAR(A498),MONTH(A498),1))</f>
        <v/>
      </c>
    </row>
    <row r="499" customFormat="false" ht="15" hidden="false" customHeight="false" outlineLevel="0" collapsed="false">
      <c r="A499" s="22"/>
      <c r="B499" s="23"/>
      <c r="C499" s="23"/>
      <c r="D499" s="24"/>
      <c r="E499" s="23"/>
      <c r="F499" s="15" t="str">
        <f aca="false">IF(B499="","",IFERROR(INDEX(Configurações!$B$7:$B$30,MATCH(B499,Configurações!$A$7:$A$30,0)),"?"))</f>
        <v/>
      </c>
      <c r="G499" s="25" t="str">
        <f aca="false">IF(A499="","",A499-WEEKDAY(A499,2)+1)</f>
        <v/>
      </c>
      <c r="H499" s="26" t="str">
        <f aca="false">IF(A499="","",DATE(YEAR(A499),MONTH(A499),1))</f>
        <v/>
      </c>
    </row>
    <row r="500" customFormat="false" ht="15" hidden="false" customHeight="false" outlineLevel="0" collapsed="false">
      <c r="A500" s="22"/>
      <c r="B500" s="23"/>
      <c r="C500" s="23"/>
      <c r="D500" s="24"/>
      <c r="E500" s="23"/>
      <c r="F500" s="15" t="str">
        <f aca="false">IF(B500="","",IFERROR(INDEX(Configurações!$B$7:$B$30,MATCH(B500,Configurações!$A$7:$A$30,0)),"?"))</f>
        <v/>
      </c>
      <c r="G500" s="25" t="str">
        <f aca="false">IF(A500="","",A500-WEEKDAY(A500,2)+1)</f>
        <v/>
      </c>
      <c r="H500" s="26" t="str">
        <f aca="false">IF(A500="","",DATE(YEAR(A500),MONTH(A500),1))</f>
        <v/>
      </c>
    </row>
    <row r="501" customFormat="false" ht="15" hidden="false" customHeight="false" outlineLevel="0" collapsed="false">
      <c r="A501" s="22"/>
      <c r="B501" s="23"/>
      <c r="C501" s="23"/>
      <c r="D501" s="24"/>
      <c r="E501" s="23"/>
      <c r="F501" s="15" t="str">
        <f aca="false">IF(B501="","",IFERROR(INDEX(Configurações!$B$7:$B$30,MATCH(B501,Configurações!$A$7:$A$30,0)),"?"))</f>
        <v/>
      </c>
      <c r="G501" s="25" t="str">
        <f aca="false">IF(A501="","",A501-WEEKDAY(A501,2)+1)</f>
        <v/>
      </c>
      <c r="H501" s="26" t="str">
        <f aca="false">IF(A501="","",DATE(YEAR(A501),MONTH(A501),1))</f>
        <v/>
      </c>
    </row>
    <row r="502" customFormat="false" ht="15" hidden="false" customHeight="false" outlineLevel="0" collapsed="false">
      <c r="A502" s="22"/>
      <c r="B502" s="23"/>
      <c r="C502" s="23"/>
      <c r="D502" s="24"/>
      <c r="E502" s="23"/>
      <c r="F502" s="15" t="str">
        <f aca="false">IF(B502="","",IFERROR(INDEX(Configurações!$B$7:$B$30,MATCH(B502,Configurações!$A$7:$A$30,0)),"?"))</f>
        <v/>
      </c>
      <c r="G502" s="25" t="str">
        <f aca="false">IF(A502="","",A502-WEEKDAY(A502,2)+1)</f>
        <v/>
      </c>
      <c r="H502" s="26" t="str">
        <f aca="false">IF(A502="","",DATE(YEAR(A502),MONTH(A502),1))</f>
        <v/>
      </c>
    </row>
    <row r="503" customFormat="false" ht="15" hidden="false" customHeight="false" outlineLevel="0" collapsed="false">
      <c r="A503" s="22"/>
      <c r="B503" s="23"/>
      <c r="C503" s="23"/>
      <c r="D503" s="24"/>
      <c r="E503" s="23"/>
      <c r="F503" s="15" t="str">
        <f aca="false">IF(B503="","",IFERROR(INDEX(Configurações!$B$7:$B$30,MATCH(B503,Configurações!$A$7:$A$30,0)),"?"))</f>
        <v/>
      </c>
      <c r="G503" s="25" t="str">
        <f aca="false">IF(A503="","",A503-WEEKDAY(A503,2)+1)</f>
        <v/>
      </c>
      <c r="H503" s="26" t="str">
        <f aca="false">IF(A503="","",DATE(YEAR(A503),MONTH(A503),1))</f>
        <v/>
      </c>
    </row>
    <row r="504" customFormat="false" ht="15" hidden="false" customHeight="false" outlineLevel="0" collapsed="false">
      <c r="A504" s="22"/>
      <c r="B504" s="23"/>
      <c r="C504" s="23"/>
      <c r="D504" s="24"/>
      <c r="E504" s="23"/>
      <c r="F504" s="15" t="str">
        <f aca="false">IF(B504="","",IFERROR(INDEX(Configurações!$B$7:$B$30,MATCH(B504,Configurações!$A$7:$A$30,0)),"?"))</f>
        <v/>
      </c>
      <c r="G504" s="25" t="str">
        <f aca="false">IF(A504="","",A504-WEEKDAY(A504,2)+1)</f>
        <v/>
      </c>
      <c r="H504" s="26" t="str">
        <f aca="false">IF(A504="","",DATE(YEAR(A504),MONTH(A504),1))</f>
        <v/>
      </c>
    </row>
    <row r="505" customFormat="false" ht="15" hidden="false" customHeight="false" outlineLevel="0" collapsed="false">
      <c r="A505" s="22"/>
      <c r="B505" s="23"/>
      <c r="C505" s="23"/>
      <c r="D505" s="24"/>
      <c r="E505" s="23"/>
      <c r="F505" s="15" t="str">
        <f aca="false">IF(B505="","",IFERROR(INDEX(Configurações!$B$7:$B$30,MATCH(B505,Configurações!$A$7:$A$30,0)),"?"))</f>
        <v/>
      </c>
      <c r="G505" s="25" t="str">
        <f aca="false">IF(A505="","",A505-WEEKDAY(A505,2)+1)</f>
        <v/>
      </c>
      <c r="H505" s="26" t="str">
        <f aca="false">IF(A505="","",DATE(YEAR(A505),MONTH(A505),1))</f>
        <v/>
      </c>
    </row>
    <row r="506" customFormat="false" ht="15" hidden="false" customHeight="false" outlineLevel="0" collapsed="false">
      <c r="A506" s="22"/>
      <c r="B506" s="23"/>
      <c r="C506" s="23"/>
      <c r="D506" s="24"/>
      <c r="E506" s="23"/>
      <c r="F506" s="15" t="str">
        <f aca="false">IF(B506="","",IFERROR(INDEX(Configurações!$B$7:$B$30,MATCH(B506,Configurações!$A$7:$A$30,0)),"?"))</f>
        <v/>
      </c>
      <c r="G506" s="25" t="str">
        <f aca="false">IF(A506="","",A506-WEEKDAY(A506,2)+1)</f>
        <v/>
      </c>
      <c r="H506" s="26" t="str">
        <f aca="false">IF(A506="","",DATE(YEAR(A506),MONTH(A506),1))</f>
        <v/>
      </c>
    </row>
    <row r="507" customFormat="false" ht="15" hidden="false" customHeight="false" outlineLevel="0" collapsed="false">
      <c r="A507" s="22"/>
      <c r="B507" s="23"/>
      <c r="C507" s="23"/>
      <c r="D507" s="24"/>
      <c r="E507" s="23"/>
      <c r="F507" s="15" t="str">
        <f aca="false">IF(B507="","",IFERROR(INDEX(Configurações!$B$7:$B$30,MATCH(B507,Configurações!$A$7:$A$30,0)),"?"))</f>
        <v/>
      </c>
      <c r="G507" s="25" t="str">
        <f aca="false">IF(A507="","",A507-WEEKDAY(A507,2)+1)</f>
        <v/>
      </c>
      <c r="H507" s="26" t="str">
        <f aca="false">IF(A507="","",DATE(YEAR(A507),MONTH(A507),1))</f>
        <v/>
      </c>
    </row>
    <row r="508" customFormat="false" ht="15" hidden="false" customHeight="false" outlineLevel="0" collapsed="false">
      <c r="A508" s="22"/>
      <c r="B508" s="23"/>
      <c r="C508" s="23"/>
      <c r="D508" s="24"/>
      <c r="E508" s="23"/>
      <c r="F508" s="15" t="str">
        <f aca="false">IF(B508="","",IFERROR(INDEX(Configurações!$B$7:$B$30,MATCH(B508,Configurações!$A$7:$A$30,0)),"?"))</f>
        <v/>
      </c>
      <c r="G508" s="25" t="str">
        <f aca="false">IF(A508="","",A508-WEEKDAY(A508,2)+1)</f>
        <v/>
      </c>
      <c r="H508" s="26" t="str">
        <f aca="false">IF(A508="","",DATE(YEAR(A508),MONTH(A508),1))</f>
        <v/>
      </c>
    </row>
    <row r="509" customFormat="false" ht="15" hidden="false" customHeight="false" outlineLevel="0" collapsed="false">
      <c r="A509" s="22"/>
      <c r="B509" s="23"/>
      <c r="C509" s="23"/>
      <c r="D509" s="24"/>
      <c r="E509" s="23"/>
      <c r="F509" s="15" t="str">
        <f aca="false">IF(B509="","",IFERROR(INDEX(Configurações!$B$7:$B$30,MATCH(B509,Configurações!$A$7:$A$30,0)),"?"))</f>
        <v/>
      </c>
      <c r="G509" s="25" t="str">
        <f aca="false">IF(A509="","",A509-WEEKDAY(A509,2)+1)</f>
        <v/>
      </c>
      <c r="H509" s="26" t="str">
        <f aca="false">IF(A509="","",DATE(YEAR(A509),MONTH(A509),1))</f>
        <v/>
      </c>
    </row>
    <row r="510" customFormat="false" ht="15" hidden="false" customHeight="false" outlineLevel="0" collapsed="false">
      <c r="A510" s="22"/>
      <c r="B510" s="23"/>
      <c r="C510" s="23"/>
      <c r="D510" s="24"/>
      <c r="E510" s="23"/>
      <c r="F510" s="15" t="str">
        <f aca="false">IF(B510="","",IFERROR(INDEX(Configurações!$B$7:$B$30,MATCH(B510,Configurações!$A$7:$A$30,0)),"?"))</f>
        <v/>
      </c>
      <c r="G510" s="25" t="str">
        <f aca="false">IF(A510="","",A510-WEEKDAY(A510,2)+1)</f>
        <v/>
      </c>
      <c r="H510" s="26" t="str">
        <f aca="false">IF(A510="","",DATE(YEAR(A510),MONTH(A510),1))</f>
        <v/>
      </c>
    </row>
    <row r="511" customFormat="false" ht="15" hidden="false" customHeight="false" outlineLevel="0" collapsed="false">
      <c r="A511" s="22"/>
      <c r="B511" s="23"/>
      <c r="C511" s="23"/>
      <c r="D511" s="24"/>
      <c r="E511" s="23"/>
      <c r="F511" s="15" t="str">
        <f aca="false">IF(B511="","",IFERROR(INDEX(Configurações!$B$7:$B$30,MATCH(B511,Configurações!$A$7:$A$30,0)),"?"))</f>
        <v/>
      </c>
      <c r="G511" s="25" t="str">
        <f aca="false">IF(A511="","",A511-WEEKDAY(A511,2)+1)</f>
        <v/>
      </c>
      <c r="H511" s="26" t="str">
        <f aca="false">IF(A511="","",DATE(YEAR(A511),MONTH(A511),1))</f>
        <v/>
      </c>
    </row>
    <row r="512" customFormat="false" ht="15" hidden="false" customHeight="false" outlineLevel="0" collapsed="false">
      <c r="A512" s="22"/>
      <c r="B512" s="23"/>
      <c r="C512" s="23"/>
      <c r="D512" s="24"/>
      <c r="E512" s="23"/>
      <c r="F512" s="15" t="str">
        <f aca="false">IF(B512="","",IFERROR(INDEX(Configurações!$B$7:$B$30,MATCH(B512,Configurações!$A$7:$A$30,0)),"?"))</f>
        <v/>
      </c>
      <c r="G512" s="25" t="str">
        <f aca="false">IF(A512="","",A512-WEEKDAY(A512,2)+1)</f>
        <v/>
      </c>
      <c r="H512" s="26" t="str">
        <f aca="false">IF(A512="","",DATE(YEAR(A512),MONTH(A512),1))</f>
        <v/>
      </c>
    </row>
    <row r="513" customFormat="false" ht="15" hidden="false" customHeight="false" outlineLevel="0" collapsed="false">
      <c r="A513" s="22"/>
      <c r="B513" s="23"/>
      <c r="C513" s="23"/>
      <c r="D513" s="24"/>
      <c r="E513" s="23"/>
      <c r="F513" s="15" t="str">
        <f aca="false">IF(B513="","",IFERROR(INDEX(Configurações!$B$7:$B$30,MATCH(B513,Configurações!$A$7:$A$30,0)),"?"))</f>
        <v/>
      </c>
      <c r="G513" s="25" t="str">
        <f aca="false">IF(A513="","",A513-WEEKDAY(A513,2)+1)</f>
        <v/>
      </c>
      <c r="H513" s="26" t="str">
        <f aca="false">IF(A513="","",DATE(YEAR(A513),MONTH(A513),1))</f>
        <v/>
      </c>
    </row>
    <row r="514" customFormat="false" ht="15" hidden="false" customHeight="false" outlineLevel="0" collapsed="false">
      <c r="A514" s="22"/>
      <c r="B514" s="23"/>
      <c r="C514" s="23"/>
      <c r="D514" s="24"/>
      <c r="E514" s="23"/>
      <c r="F514" s="15" t="str">
        <f aca="false">IF(B514="","",IFERROR(INDEX(Configurações!$B$7:$B$30,MATCH(B514,Configurações!$A$7:$A$30,0)),"?"))</f>
        <v/>
      </c>
      <c r="G514" s="25" t="str">
        <f aca="false">IF(A514="","",A514-WEEKDAY(A514,2)+1)</f>
        <v/>
      </c>
      <c r="H514" s="26" t="str">
        <f aca="false">IF(A514="","",DATE(YEAR(A514),MONTH(A514),1))</f>
        <v/>
      </c>
    </row>
    <row r="515" customFormat="false" ht="15" hidden="false" customHeight="false" outlineLevel="0" collapsed="false">
      <c r="A515" s="22"/>
      <c r="B515" s="23"/>
      <c r="C515" s="23"/>
      <c r="D515" s="24"/>
      <c r="E515" s="23"/>
      <c r="F515" s="15" t="str">
        <f aca="false">IF(B515="","",IFERROR(INDEX(Configurações!$B$7:$B$30,MATCH(B515,Configurações!$A$7:$A$30,0)),"?"))</f>
        <v/>
      </c>
      <c r="G515" s="25" t="str">
        <f aca="false">IF(A515="","",A515-WEEKDAY(A515,2)+1)</f>
        <v/>
      </c>
      <c r="H515" s="26" t="str">
        <f aca="false">IF(A515="","",DATE(YEAR(A515),MONTH(A515),1))</f>
        <v/>
      </c>
    </row>
    <row r="516" customFormat="false" ht="15" hidden="false" customHeight="false" outlineLevel="0" collapsed="false">
      <c r="A516" s="22"/>
      <c r="B516" s="23"/>
      <c r="C516" s="23"/>
      <c r="D516" s="24"/>
      <c r="E516" s="23"/>
      <c r="F516" s="15" t="str">
        <f aca="false">IF(B516="","",IFERROR(INDEX(Configurações!$B$7:$B$30,MATCH(B516,Configurações!$A$7:$A$30,0)),"?"))</f>
        <v/>
      </c>
      <c r="G516" s="25" t="str">
        <f aca="false">IF(A516="","",A516-WEEKDAY(A516,2)+1)</f>
        <v/>
      </c>
      <c r="H516" s="26" t="str">
        <f aca="false">IF(A516="","",DATE(YEAR(A516),MONTH(A516),1))</f>
        <v/>
      </c>
    </row>
    <row r="517" customFormat="false" ht="15" hidden="false" customHeight="false" outlineLevel="0" collapsed="false">
      <c r="A517" s="22"/>
      <c r="B517" s="23"/>
      <c r="C517" s="23"/>
      <c r="D517" s="24"/>
      <c r="E517" s="23"/>
      <c r="F517" s="15" t="str">
        <f aca="false">IF(B517="","",IFERROR(INDEX(Configurações!$B$7:$B$30,MATCH(B517,Configurações!$A$7:$A$30,0)),"?"))</f>
        <v/>
      </c>
      <c r="G517" s="25" t="str">
        <f aca="false">IF(A517="","",A517-WEEKDAY(A517,2)+1)</f>
        <v/>
      </c>
      <c r="H517" s="26" t="str">
        <f aca="false">IF(A517="","",DATE(YEAR(A517),MONTH(A517),1))</f>
        <v/>
      </c>
    </row>
    <row r="518" customFormat="false" ht="15" hidden="false" customHeight="false" outlineLevel="0" collapsed="false">
      <c r="A518" s="22"/>
      <c r="B518" s="23"/>
      <c r="C518" s="23"/>
      <c r="D518" s="24"/>
      <c r="E518" s="23"/>
      <c r="F518" s="15" t="str">
        <f aca="false">IF(B518="","",IFERROR(INDEX(Configurações!$B$7:$B$30,MATCH(B518,Configurações!$A$7:$A$30,0)),"?"))</f>
        <v/>
      </c>
      <c r="G518" s="25" t="str">
        <f aca="false">IF(A518="","",A518-WEEKDAY(A518,2)+1)</f>
        <v/>
      </c>
      <c r="H518" s="26" t="str">
        <f aca="false">IF(A518="","",DATE(YEAR(A518),MONTH(A518),1))</f>
        <v/>
      </c>
    </row>
    <row r="519" customFormat="false" ht="15" hidden="false" customHeight="false" outlineLevel="0" collapsed="false">
      <c r="A519" s="22"/>
      <c r="B519" s="23"/>
      <c r="C519" s="23"/>
      <c r="D519" s="24"/>
      <c r="E519" s="23"/>
      <c r="F519" s="15" t="str">
        <f aca="false">IF(B519="","",IFERROR(INDEX(Configurações!$B$7:$B$30,MATCH(B519,Configurações!$A$7:$A$30,0)),"?"))</f>
        <v/>
      </c>
      <c r="G519" s="25" t="str">
        <f aca="false">IF(A519="","",A519-WEEKDAY(A519,2)+1)</f>
        <v/>
      </c>
      <c r="H519" s="26" t="str">
        <f aca="false">IF(A519="","",DATE(YEAR(A519),MONTH(A519),1))</f>
        <v/>
      </c>
    </row>
    <row r="520" customFormat="false" ht="15" hidden="false" customHeight="false" outlineLevel="0" collapsed="false">
      <c r="A520" s="22"/>
      <c r="B520" s="23"/>
      <c r="C520" s="23"/>
      <c r="D520" s="24"/>
      <c r="E520" s="23"/>
      <c r="F520" s="15" t="str">
        <f aca="false">IF(B520="","",IFERROR(INDEX(Configurações!$B$7:$B$30,MATCH(B520,Configurações!$A$7:$A$30,0)),"?"))</f>
        <v/>
      </c>
      <c r="G520" s="25" t="str">
        <f aca="false">IF(A520="","",A520-WEEKDAY(A520,2)+1)</f>
        <v/>
      </c>
      <c r="H520" s="26" t="str">
        <f aca="false">IF(A520="","",DATE(YEAR(A520),MONTH(A520),1))</f>
        <v/>
      </c>
    </row>
    <row r="521" customFormat="false" ht="15" hidden="false" customHeight="false" outlineLevel="0" collapsed="false">
      <c r="A521" s="22"/>
      <c r="B521" s="23"/>
      <c r="C521" s="23"/>
      <c r="D521" s="24"/>
      <c r="E521" s="23"/>
      <c r="F521" s="15" t="str">
        <f aca="false">IF(B521="","",IFERROR(INDEX(Configurações!$B$7:$B$30,MATCH(B521,Configurações!$A$7:$A$30,0)),"?"))</f>
        <v/>
      </c>
      <c r="G521" s="25" t="str">
        <f aca="false">IF(A521="","",A521-WEEKDAY(A521,2)+1)</f>
        <v/>
      </c>
      <c r="H521" s="26" t="str">
        <f aca="false">IF(A521="","",DATE(YEAR(A521),MONTH(A521),1))</f>
        <v/>
      </c>
    </row>
    <row r="522" customFormat="false" ht="15" hidden="false" customHeight="false" outlineLevel="0" collapsed="false">
      <c r="A522" s="22"/>
      <c r="B522" s="23"/>
      <c r="C522" s="23"/>
      <c r="D522" s="24"/>
      <c r="E522" s="23"/>
      <c r="F522" s="15" t="str">
        <f aca="false">IF(B522="","",IFERROR(INDEX(Configurações!$B$7:$B$30,MATCH(B522,Configurações!$A$7:$A$30,0)),"?"))</f>
        <v/>
      </c>
      <c r="G522" s="25" t="str">
        <f aca="false">IF(A522="","",A522-WEEKDAY(A522,2)+1)</f>
        <v/>
      </c>
      <c r="H522" s="26" t="str">
        <f aca="false">IF(A522="","",DATE(YEAR(A522),MONTH(A522),1))</f>
        <v/>
      </c>
    </row>
    <row r="523" customFormat="false" ht="15" hidden="false" customHeight="false" outlineLevel="0" collapsed="false">
      <c r="A523" s="22"/>
      <c r="B523" s="23"/>
      <c r="C523" s="23"/>
      <c r="D523" s="24"/>
      <c r="E523" s="23"/>
      <c r="F523" s="15" t="str">
        <f aca="false">IF(B523="","",IFERROR(INDEX(Configurações!$B$7:$B$30,MATCH(B523,Configurações!$A$7:$A$30,0)),"?"))</f>
        <v/>
      </c>
      <c r="G523" s="25" t="str">
        <f aca="false">IF(A523="","",A523-WEEKDAY(A523,2)+1)</f>
        <v/>
      </c>
      <c r="H523" s="26" t="str">
        <f aca="false">IF(A523="","",DATE(YEAR(A523),MONTH(A523),1))</f>
        <v/>
      </c>
    </row>
    <row r="524" customFormat="false" ht="15" hidden="false" customHeight="false" outlineLevel="0" collapsed="false">
      <c r="A524" s="22"/>
      <c r="B524" s="23"/>
      <c r="C524" s="23"/>
      <c r="D524" s="24"/>
      <c r="E524" s="23"/>
      <c r="F524" s="15" t="str">
        <f aca="false">IF(B524="","",IFERROR(INDEX(Configurações!$B$7:$B$30,MATCH(B524,Configurações!$A$7:$A$30,0)),"?"))</f>
        <v/>
      </c>
      <c r="G524" s="25" t="str">
        <f aca="false">IF(A524="","",A524-WEEKDAY(A524,2)+1)</f>
        <v/>
      </c>
      <c r="H524" s="26" t="str">
        <f aca="false">IF(A524="","",DATE(YEAR(A524),MONTH(A524),1))</f>
        <v/>
      </c>
    </row>
    <row r="525" customFormat="false" ht="15" hidden="false" customHeight="false" outlineLevel="0" collapsed="false">
      <c r="A525" s="22"/>
      <c r="B525" s="23"/>
      <c r="C525" s="23"/>
      <c r="D525" s="24"/>
      <c r="E525" s="23"/>
      <c r="F525" s="15" t="str">
        <f aca="false">IF(B525="","",IFERROR(INDEX(Configurações!$B$7:$B$30,MATCH(B525,Configurações!$A$7:$A$30,0)),"?"))</f>
        <v/>
      </c>
      <c r="G525" s="25" t="str">
        <f aca="false">IF(A525="","",A525-WEEKDAY(A525,2)+1)</f>
        <v/>
      </c>
      <c r="H525" s="26" t="str">
        <f aca="false">IF(A525="","",DATE(YEAR(A525),MONTH(A525),1))</f>
        <v/>
      </c>
    </row>
    <row r="526" customFormat="false" ht="15" hidden="false" customHeight="false" outlineLevel="0" collapsed="false">
      <c r="A526" s="22"/>
      <c r="B526" s="23"/>
      <c r="C526" s="23"/>
      <c r="D526" s="24"/>
      <c r="E526" s="23"/>
      <c r="F526" s="15" t="str">
        <f aca="false">IF(B526="","",IFERROR(INDEX(Configurações!$B$7:$B$30,MATCH(B526,Configurações!$A$7:$A$30,0)),"?"))</f>
        <v/>
      </c>
      <c r="G526" s="25" t="str">
        <f aca="false">IF(A526="","",A526-WEEKDAY(A526,2)+1)</f>
        <v/>
      </c>
      <c r="H526" s="26" t="str">
        <f aca="false">IF(A526="","",DATE(YEAR(A526),MONTH(A526),1))</f>
        <v/>
      </c>
    </row>
    <row r="527" customFormat="false" ht="15" hidden="false" customHeight="false" outlineLevel="0" collapsed="false">
      <c r="A527" s="22"/>
      <c r="B527" s="23"/>
      <c r="C527" s="23"/>
      <c r="D527" s="24"/>
      <c r="E527" s="23"/>
      <c r="F527" s="15" t="str">
        <f aca="false">IF(B527="","",IFERROR(INDEX(Configurações!$B$7:$B$30,MATCH(B527,Configurações!$A$7:$A$30,0)),"?"))</f>
        <v/>
      </c>
      <c r="G527" s="25" t="str">
        <f aca="false">IF(A527="","",A527-WEEKDAY(A527,2)+1)</f>
        <v/>
      </c>
      <c r="H527" s="26" t="str">
        <f aca="false">IF(A527="","",DATE(YEAR(A527),MONTH(A527),1))</f>
        <v/>
      </c>
    </row>
    <row r="528" customFormat="false" ht="15" hidden="false" customHeight="false" outlineLevel="0" collapsed="false">
      <c r="A528" s="22"/>
      <c r="B528" s="23"/>
      <c r="C528" s="23"/>
      <c r="D528" s="24"/>
      <c r="E528" s="23"/>
      <c r="F528" s="15" t="str">
        <f aca="false">IF(B528="","",IFERROR(INDEX(Configurações!$B$7:$B$30,MATCH(B528,Configurações!$A$7:$A$30,0)),"?"))</f>
        <v/>
      </c>
      <c r="G528" s="25" t="str">
        <f aca="false">IF(A528="","",A528-WEEKDAY(A528,2)+1)</f>
        <v/>
      </c>
      <c r="H528" s="26" t="str">
        <f aca="false">IF(A528="","",DATE(YEAR(A528),MONTH(A528),1))</f>
        <v/>
      </c>
    </row>
    <row r="529" customFormat="false" ht="15" hidden="false" customHeight="false" outlineLevel="0" collapsed="false">
      <c r="A529" s="22"/>
      <c r="B529" s="23"/>
      <c r="C529" s="23"/>
      <c r="D529" s="24"/>
      <c r="E529" s="23"/>
      <c r="F529" s="15" t="str">
        <f aca="false">IF(B529="","",IFERROR(INDEX(Configurações!$B$7:$B$30,MATCH(B529,Configurações!$A$7:$A$30,0)),"?"))</f>
        <v/>
      </c>
      <c r="G529" s="25" t="str">
        <f aca="false">IF(A529="","",A529-WEEKDAY(A529,2)+1)</f>
        <v/>
      </c>
      <c r="H529" s="26" t="str">
        <f aca="false">IF(A529="","",DATE(YEAR(A529),MONTH(A529),1))</f>
        <v/>
      </c>
    </row>
    <row r="530" customFormat="false" ht="15" hidden="false" customHeight="false" outlineLevel="0" collapsed="false">
      <c r="A530" s="22"/>
      <c r="B530" s="23"/>
      <c r="C530" s="23"/>
      <c r="D530" s="24"/>
      <c r="E530" s="23"/>
      <c r="F530" s="15" t="str">
        <f aca="false">IF(B530="","",IFERROR(INDEX(Configurações!$B$7:$B$30,MATCH(B530,Configurações!$A$7:$A$30,0)),"?"))</f>
        <v/>
      </c>
      <c r="G530" s="25" t="str">
        <f aca="false">IF(A530="","",A530-WEEKDAY(A530,2)+1)</f>
        <v/>
      </c>
      <c r="H530" s="26" t="str">
        <f aca="false">IF(A530="","",DATE(YEAR(A530),MONTH(A530),1))</f>
        <v/>
      </c>
    </row>
    <row r="531" customFormat="false" ht="15" hidden="false" customHeight="false" outlineLevel="0" collapsed="false">
      <c r="A531" s="22"/>
      <c r="B531" s="23"/>
      <c r="C531" s="23"/>
      <c r="D531" s="24"/>
      <c r="E531" s="23"/>
      <c r="F531" s="15" t="str">
        <f aca="false">IF(B531="","",IFERROR(INDEX(Configurações!$B$7:$B$30,MATCH(B531,Configurações!$A$7:$A$30,0)),"?"))</f>
        <v/>
      </c>
      <c r="G531" s="25" t="str">
        <f aca="false">IF(A531="","",A531-WEEKDAY(A531,2)+1)</f>
        <v/>
      </c>
      <c r="H531" s="26" t="str">
        <f aca="false">IF(A531="","",DATE(YEAR(A531),MONTH(A531),1))</f>
        <v/>
      </c>
    </row>
    <row r="532" customFormat="false" ht="15" hidden="false" customHeight="false" outlineLevel="0" collapsed="false">
      <c r="A532" s="22"/>
      <c r="B532" s="23"/>
      <c r="C532" s="23"/>
      <c r="D532" s="24"/>
      <c r="E532" s="23"/>
      <c r="F532" s="15" t="str">
        <f aca="false">IF(B532="","",IFERROR(INDEX(Configurações!$B$7:$B$30,MATCH(B532,Configurações!$A$7:$A$30,0)),"?"))</f>
        <v/>
      </c>
      <c r="G532" s="25" t="str">
        <f aca="false">IF(A532="","",A532-WEEKDAY(A532,2)+1)</f>
        <v/>
      </c>
      <c r="H532" s="26" t="str">
        <f aca="false">IF(A532="","",DATE(YEAR(A532),MONTH(A532),1))</f>
        <v/>
      </c>
    </row>
    <row r="533" customFormat="false" ht="15" hidden="false" customHeight="false" outlineLevel="0" collapsed="false">
      <c r="A533" s="22"/>
      <c r="B533" s="23"/>
      <c r="C533" s="23"/>
      <c r="D533" s="24"/>
      <c r="E533" s="23"/>
      <c r="F533" s="15" t="str">
        <f aca="false">IF(B533="","",IFERROR(INDEX(Configurações!$B$7:$B$30,MATCH(B533,Configurações!$A$7:$A$30,0)),"?"))</f>
        <v/>
      </c>
      <c r="G533" s="25" t="str">
        <f aca="false">IF(A533="","",A533-WEEKDAY(A533,2)+1)</f>
        <v/>
      </c>
      <c r="H533" s="26" t="str">
        <f aca="false">IF(A533="","",DATE(YEAR(A533),MONTH(A533),1))</f>
        <v/>
      </c>
    </row>
    <row r="534" customFormat="false" ht="15" hidden="false" customHeight="false" outlineLevel="0" collapsed="false">
      <c r="A534" s="22"/>
      <c r="B534" s="23"/>
      <c r="C534" s="23"/>
      <c r="D534" s="24"/>
      <c r="E534" s="23"/>
      <c r="F534" s="15" t="str">
        <f aca="false">IF(B534="","",IFERROR(INDEX(Configurações!$B$7:$B$30,MATCH(B534,Configurações!$A$7:$A$30,0)),"?"))</f>
        <v/>
      </c>
      <c r="G534" s="25" t="str">
        <f aca="false">IF(A534="","",A534-WEEKDAY(A534,2)+1)</f>
        <v/>
      </c>
      <c r="H534" s="26" t="str">
        <f aca="false">IF(A534="","",DATE(YEAR(A534),MONTH(A534),1))</f>
        <v/>
      </c>
    </row>
    <row r="535" customFormat="false" ht="15" hidden="false" customHeight="false" outlineLevel="0" collapsed="false">
      <c r="A535" s="22"/>
      <c r="B535" s="23"/>
      <c r="C535" s="23"/>
      <c r="D535" s="24"/>
      <c r="E535" s="23"/>
      <c r="F535" s="15" t="str">
        <f aca="false">IF(B535="","",IFERROR(INDEX(Configurações!$B$7:$B$30,MATCH(B535,Configurações!$A$7:$A$30,0)),"?"))</f>
        <v/>
      </c>
      <c r="G535" s="25" t="str">
        <f aca="false">IF(A535="","",A535-WEEKDAY(A535,2)+1)</f>
        <v/>
      </c>
      <c r="H535" s="26" t="str">
        <f aca="false">IF(A535="","",DATE(YEAR(A535),MONTH(A535),1))</f>
        <v/>
      </c>
    </row>
    <row r="536" customFormat="false" ht="15" hidden="false" customHeight="false" outlineLevel="0" collapsed="false">
      <c r="A536" s="22"/>
      <c r="B536" s="23"/>
      <c r="C536" s="23"/>
      <c r="D536" s="24"/>
      <c r="E536" s="23"/>
      <c r="F536" s="15" t="str">
        <f aca="false">IF(B536="","",IFERROR(INDEX(Configurações!$B$7:$B$30,MATCH(B536,Configurações!$A$7:$A$30,0)),"?"))</f>
        <v/>
      </c>
      <c r="G536" s="25" t="str">
        <f aca="false">IF(A536="","",A536-WEEKDAY(A536,2)+1)</f>
        <v/>
      </c>
      <c r="H536" s="26" t="str">
        <f aca="false">IF(A536="","",DATE(YEAR(A536),MONTH(A536),1))</f>
        <v/>
      </c>
    </row>
    <row r="537" customFormat="false" ht="15" hidden="false" customHeight="false" outlineLevel="0" collapsed="false">
      <c r="A537" s="22"/>
      <c r="B537" s="23"/>
      <c r="C537" s="23"/>
      <c r="D537" s="24"/>
      <c r="E537" s="23"/>
      <c r="F537" s="15" t="str">
        <f aca="false">IF(B537="","",IFERROR(INDEX(Configurações!$B$7:$B$30,MATCH(B537,Configurações!$A$7:$A$30,0)),"?"))</f>
        <v/>
      </c>
      <c r="G537" s="25" t="str">
        <f aca="false">IF(A537="","",A537-WEEKDAY(A537,2)+1)</f>
        <v/>
      </c>
      <c r="H537" s="26" t="str">
        <f aca="false">IF(A537="","",DATE(YEAR(A537),MONTH(A537),1))</f>
        <v/>
      </c>
    </row>
    <row r="538" customFormat="false" ht="15" hidden="false" customHeight="false" outlineLevel="0" collapsed="false">
      <c r="A538" s="22"/>
      <c r="B538" s="23"/>
      <c r="C538" s="23"/>
      <c r="D538" s="24"/>
      <c r="E538" s="23"/>
      <c r="F538" s="15" t="str">
        <f aca="false">IF(B538="","",IFERROR(INDEX(Configurações!$B$7:$B$30,MATCH(B538,Configurações!$A$7:$A$30,0)),"?"))</f>
        <v/>
      </c>
      <c r="G538" s="25" t="str">
        <f aca="false">IF(A538="","",A538-WEEKDAY(A538,2)+1)</f>
        <v/>
      </c>
      <c r="H538" s="26" t="str">
        <f aca="false">IF(A538="","",DATE(YEAR(A538),MONTH(A538),1))</f>
        <v/>
      </c>
    </row>
    <row r="539" customFormat="false" ht="15" hidden="false" customHeight="false" outlineLevel="0" collapsed="false">
      <c r="A539" s="22"/>
      <c r="B539" s="23"/>
      <c r="C539" s="23"/>
      <c r="D539" s="24"/>
      <c r="E539" s="23"/>
      <c r="F539" s="15" t="str">
        <f aca="false">IF(B539="","",IFERROR(INDEX(Configurações!$B$7:$B$30,MATCH(B539,Configurações!$A$7:$A$30,0)),"?"))</f>
        <v/>
      </c>
      <c r="G539" s="25" t="str">
        <f aca="false">IF(A539="","",A539-WEEKDAY(A539,2)+1)</f>
        <v/>
      </c>
      <c r="H539" s="26" t="str">
        <f aca="false">IF(A539="","",DATE(YEAR(A539),MONTH(A539),1))</f>
        <v/>
      </c>
    </row>
    <row r="540" customFormat="false" ht="15" hidden="false" customHeight="false" outlineLevel="0" collapsed="false">
      <c r="A540" s="22"/>
      <c r="B540" s="23"/>
      <c r="C540" s="23"/>
      <c r="D540" s="24"/>
      <c r="E540" s="23"/>
      <c r="F540" s="15" t="str">
        <f aca="false">IF(B540="","",IFERROR(INDEX(Configurações!$B$7:$B$30,MATCH(B540,Configurações!$A$7:$A$30,0)),"?"))</f>
        <v/>
      </c>
      <c r="G540" s="25" t="str">
        <f aca="false">IF(A540="","",A540-WEEKDAY(A540,2)+1)</f>
        <v/>
      </c>
      <c r="H540" s="26" t="str">
        <f aca="false">IF(A540="","",DATE(YEAR(A540),MONTH(A540),1))</f>
        <v/>
      </c>
    </row>
    <row r="541" customFormat="false" ht="15" hidden="false" customHeight="false" outlineLevel="0" collapsed="false">
      <c r="A541" s="22"/>
      <c r="B541" s="23"/>
      <c r="C541" s="23"/>
      <c r="D541" s="24"/>
      <c r="E541" s="23"/>
      <c r="F541" s="15" t="str">
        <f aca="false">IF(B541="","",IFERROR(INDEX(Configurações!$B$7:$B$30,MATCH(B541,Configurações!$A$7:$A$30,0)),"?"))</f>
        <v/>
      </c>
      <c r="G541" s="25" t="str">
        <f aca="false">IF(A541="","",A541-WEEKDAY(A541,2)+1)</f>
        <v/>
      </c>
      <c r="H541" s="26" t="str">
        <f aca="false">IF(A541="","",DATE(YEAR(A541),MONTH(A541),1))</f>
        <v/>
      </c>
    </row>
    <row r="542" customFormat="false" ht="15" hidden="false" customHeight="false" outlineLevel="0" collapsed="false">
      <c r="A542" s="22"/>
      <c r="B542" s="23"/>
      <c r="C542" s="23"/>
      <c r="D542" s="24"/>
      <c r="E542" s="23"/>
      <c r="F542" s="15" t="str">
        <f aca="false">IF(B542="","",IFERROR(INDEX(Configurações!$B$7:$B$30,MATCH(B542,Configurações!$A$7:$A$30,0)),"?"))</f>
        <v/>
      </c>
      <c r="G542" s="25" t="str">
        <f aca="false">IF(A542="","",A542-WEEKDAY(A542,2)+1)</f>
        <v/>
      </c>
      <c r="H542" s="26" t="str">
        <f aca="false">IF(A542="","",DATE(YEAR(A542),MONTH(A542),1))</f>
        <v/>
      </c>
    </row>
    <row r="543" customFormat="false" ht="15" hidden="false" customHeight="false" outlineLevel="0" collapsed="false">
      <c r="A543" s="22"/>
      <c r="B543" s="23"/>
      <c r="C543" s="23"/>
      <c r="D543" s="24"/>
      <c r="E543" s="23"/>
      <c r="F543" s="15" t="str">
        <f aca="false">IF(B543="","",IFERROR(INDEX(Configurações!$B$7:$B$30,MATCH(B543,Configurações!$A$7:$A$30,0)),"?"))</f>
        <v/>
      </c>
      <c r="G543" s="25" t="str">
        <f aca="false">IF(A543="","",A543-WEEKDAY(A543,2)+1)</f>
        <v/>
      </c>
      <c r="H543" s="26" t="str">
        <f aca="false">IF(A543="","",DATE(YEAR(A543),MONTH(A543),1))</f>
        <v/>
      </c>
    </row>
    <row r="544" customFormat="false" ht="15" hidden="false" customHeight="false" outlineLevel="0" collapsed="false">
      <c r="A544" s="22"/>
      <c r="B544" s="23"/>
      <c r="C544" s="23"/>
      <c r="D544" s="24"/>
      <c r="E544" s="23"/>
      <c r="F544" s="15" t="str">
        <f aca="false">IF(B544="","",IFERROR(INDEX(Configurações!$B$7:$B$30,MATCH(B544,Configurações!$A$7:$A$30,0)),"?"))</f>
        <v/>
      </c>
      <c r="G544" s="25" t="str">
        <f aca="false">IF(A544="","",A544-WEEKDAY(A544,2)+1)</f>
        <v/>
      </c>
      <c r="H544" s="26" t="str">
        <f aca="false">IF(A544="","",DATE(YEAR(A544),MONTH(A544),1))</f>
        <v/>
      </c>
    </row>
    <row r="545" customFormat="false" ht="15" hidden="false" customHeight="false" outlineLevel="0" collapsed="false">
      <c r="A545" s="22"/>
      <c r="B545" s="23"/>
      <c r="C545" s="23"/>
      <c r="D545" s="24"/>
      <c r="E545" s="23"/>
      <c r="F545" s="15" t="str">
        <f aca="false">IF(B545="","",IFERROR(INDEX(Configurações!$B$7:$B$30,MATCH(B545,Configurações!$A$7:$A$30,0)),"?"))</f>
        <v/>
      </c>
      <c r="G545" s="25" t="str">
        <f aca="false">IF(A545="","",A545-WEEKDAY(A545,2)+1)</f>
        <v/>
      </c>
      <c r="H545" s="26" t="str">
        <f aca="false">IF(A545="","",DATE(YEAR(A545),MONTH(A545),1))</f>
        <v/>
      </c>
    </row>
    <row r="546" customFormat="false" ht="15" hidden="false" customHeight="false" outlineLevel="0" collapsed="false">
      <c r="A546" s="22"/>
      <c r="B546" s="23"/>
      <c r="C546" s="23"/>
      <c r="D546" s="24"/>
      <c r="E546" s="23"/>
      <c r="F546" s="15" t="str">
        <f aca="false">IF(B546="","",IFERROR(INDEX(Configurações!$B$7:$B$30,MATCH(B546,Configurações!$A$7:$A$30,0)),"?"))</f>
        <v/>
      </c>
      <c r="G546" s="25" t="str">
        <f aca="false">IF(A546="","",A546-WEEKDAY(A546,2)+1)</f>
        <v/>
      </c>
      <c r="H546" s="26" t="str">
        <f aca="false">IF(A546="","",DATE(YEAR(A546),MONTH(A546),1))</f>
        <v/>
      </c>
    </row>
    <row r="547" customFormat="false" ht="15" hidden="false" customHeight="false" outlineLevel="0" collapsed="false">
      <c r="A547" s="22"/>
      <c r="B547" s="23"/>
      <c r="C547" s="23"/>
      <c r="D547" s="24"/>
      <c r="E547" s="23"/>
      <c r="F547" s="15" t="str">
        <f aca="false">IF(B547="","",IFERROR(INDEX(Configurações!$B$7:$B$30,MATCH(B547,Configurações!$A$7:$A$30,0)),"?"))</f>
        <v/>
      </c>
      <c r="G547" s="25" t="str">
        <f aca="false">IF(A547="","",A547-WEEKDAY(A547,2)+1)</f>
        <v/>
      </c>
      <c r="H547" s="26" t="str">
        <f aca="false">IF(A547="","",DATE(YEAR(A547),MONTH(A547),1))</f>
        <v/>
      </c>
    </row>
    <row r="548" customFormat="false" ht="15" hidden="false" customHeight="false" outlineLevel="0" collapsed="false">
      <c r="A548" s="22"/>
      <c r="B548" s="23"/>
      <c r="C548" s="23"/>
      <c r="D548" s="24"/>
      <c r="E548" s="23"/>
      <c r="F548" s="15" t="str">
        <f aca="false">IF(B548="","",IFERROR(INDEX(Configurações!$B$7:$B$30,MATCH(B548,Configurações!$A$7:$A$30,0)),"?"))</f>
        <v/>
      </c>
      <c r="G548" s="25" t="str">
        <f aca="false">IF(A548="","",A548-WEEKDAY(A548,2)+1)</f>
        <v/>
      </c>
      <c r="H548" s="26" t="str">
        <f aca="false">IF(A548="","",DATE(YEAR(A548),MONTH(A548),1))</f>
        <v/>
      </c>
    </row>
    <row r="549" customFormat="false" ht="15" hidden="false" customHeight="false" outlineLevel="0" collapsed="false">
      <c r="A549" s="22"/>
      <c r="B549" s="23"/>
      <c r="C549" s="23"/>
      <c r="D549" s="24"/>
      <c r="E549" s="23"/>
      <c r="F549" s="15" t="str">
        <f aca="false">IF(B549="","",IFERROR(INDEX(Configurações!$B$7:$B$30,MATCH(B549,Configurações!$A$7:$A$30,0)),"?"))</f>
        <v/>
      </c>
      <c r="G549" s="25" t="str">
        <f aca="false">IF(A549="","",A549-WEEKDAY(A549,2)+1)</f>
        <v/>
      </c>
      <c r="H549" s="26" t="str">
        <f aca="false">IF(A549="","",DATE(YEAR(A549),MONTH(A549),1))</f>
        <v/>
      </c>
    </row>
    <row r="550" customFormat="false" ht="15" hidden="false" customHeight="false" outlineLevel="0" collapsed="false">
      <c r="A550" s="22"/>
      <c r="B550" s="23"/>
      <c r="C550" s="23"/>
      <c r="D550" s="24"/>
      <c r="E550" s="23"/>
      <c r="F550" s="15" t="str">
        <f aca="false">IF(B550="","",IFERROR(INDEX(Configurações!$B$7:$B$30,MATCH(B550,Configurações!$A$7:$A$30,0)),"?"))</f>
        <v/>
      </c>
      <c r="G550" s="25" t="str">
        <f aca="false">IF(A550="","",A550-WEEKDAY(A550,2)+1)</f>
        <v/>
      </c>
      <c r="H550" s="26" t="str">
        <f aca="false">IF(A550="","",DATE(YEAR(A550),MONTH(A550),1))</f>
        <v/>
      </c>
    </row>
    <row r="551" customFormat="false" ht="15" hidden="false" customHeight="false" outlineLevel="0" collapsed="false">
      <c r="A551" s="22"/>
      <c r="B551" s="23"/>
      <c r="C551" s="23"/>
      <c r="D551" s="24"/>
      <c r="E551" s="23"/>
      <c r="F551" s="15" t="str">
        <f aca="false">IF(B551="","",IFERROR(INDEX(Configurações!$B$7:$B$30,MATCH(B551,Configurações!$A$7:$A$30,0)),"?"))</f>
        <v/>
      </c>
      <c r="G551" s="25" t="str">
        <f aca="false">IF(A551="","",A551-WEEKDAY(A551,2)+1)</f>
        <v/>
      </c>
      <c r="H551" s="26" t="str">
        <f aca="false">IF(A551="","",DATE(YEAR(A551),MONTH(A551),1))</f>
        <v/>
      </c>
    </row>
    <row r="552" customFormat="false" ht="15" hidden="false" customHeight="false" outlineLevel="0" collapsed="false">
      <c r="A552" s="22"/>
      <c r="B552" s="23"/>
      <c r="C552" s="23"/>
      <c r="D552" s="24"/>
      <c r="E552" s="23"/>
      <c r="F552" s="15" t="str">
        <f aca="false">IF(B552="","",IFERROR(INDEX(Configurações!$B$7:$B$30,MATCH(B552,Configurações!$A$7:$A$30,0)),"?"))</f>
        <v/>
      </c>
      <c r="G552" s="25" t="str">
        <f aca="false">IF(A552="","",A552-WEEKDAY(A552,2)+1)</f>
        <v/>
      </c>
      <c r="H552" s="26" t="str">
        <f aca="false">IF(A552="","",DATE(YEAR(A552),MONTH(A552),1))</f>
        <v/>
      </c>
    </row>
    <row r="553" customFormat="false" ht="15" hidden="false" customHeight="false" outlineLevel="0" collapsed="false">
      <c r="A553" s="22"/>
      <c r="B553" s="23"/>
      <c r="C553" s="23"/>
      <c r="D553" s="24"/>
      <c r="E553" s="23"/>
      <c r="F553" s="15" t="str">
        <f aca="false">IF(B553="","",IFERROR(INDEX(Configurações!$B$7:$B$30,MATCH(B553,Configurações!$A$7:$A$30,0)),"?"))</f>
        <v/>
      </c>
      <c r="G553" s="25" t="str">
        <f aca="false">IF(A553="","",A553-WEEKDAY(A553,2)+1)</f>
        <v/>
      </c>
      <c r="H553" s="26" t="str">
        <f aca="false">IF(A553="","",DATE(YEAR(A553),MONTH(A553),1))</f>
        <v/>
      </c>
    </row>
    <row r="554" customFormat="false" ht="15" hidden="false" customHeight="false" outlineLevel="0" collapsed="false">
      <c r="A554" s="22"/>
      <c r="B554" s="23"/>
      <c r="C554" s="23"/>
      <c r="D554" s="24"/>
      <c r="E554" s="23"/>
      <c r="F554" s="15" t="str">
        <f aca="false">IF(B554="","",IFERROR(INDEX(Configurações!$B$7:$B$30,MATCH(B554,Configurações!$A$7:$A$30,0)),"?"))</f>
        <v/>
      </c>
      <c r="G554" s="25" t="str">
        <f aca="false">IF(A554="","",A554-WEEKDAY(A554,2)+1)</f>
        <v/>
      </c>
      <c r="H554" s="26" t="str">
        <f aca="false">IF(A554="","",DATE(YEAR(A554),MONTH(A554),1))</f>
        <v/>
      </c>
    </row>
    <row r="555" customFormat="false" ht="15" hidden="false" customHeight="false" outlineLevel="0" collapsed="false">
      <c r="A555" s="22"/>
      <c r="B555" s="23"/>
      <c r="C555" s="23"/>
      <c r="D555" s="24"/>
      <c r="E555" s="23"/>
      <c r="F555" s="15" t="str">
        <f aca="false">IF(B555="","",IFERROR(INDEX(Configurações!$B$7:$B$30,MATCH(B555,Configurações!$A$7:$A$30,0)),"?"))</f>
        <v/>
      </c>
      <c r="G555" s="25" t="str">
        <f aca="false">IF(A555="","",A555-WEEKDAY(A555,2)+1)</f>
        <v/>
      </c>
      <c r="H555" s="26" t="str">
        <f aca="false">IF(A555="","",DATE(YEAR(A555),MONTH(A555),1))</f>
        <v/>
      </c>
    </row>
    <row r="556" customFormat="false" ht="15" hidden="false" customHeight="false" outlineLevel="0" collapsed="false">
      <c r="A556" s="22"/>
      <c r="B556" s="23"/>
      <c r="C556" s="23"/>
      <c r="D556" s="24"/>
      <c r="E556" s="23"/>
      <c r="F556" s="15" t="str">
        <f aca="false">IF(B556="","",IFERROR(INDEX(Configurações!$B$7:$B$30,MATCH(B556,Configurações!$A$7:$A$30,0)),"?"))</f>
        <v/>
      </c>
      <c r="G556" s="25" t="str">
        <f aca="false">IF(A556="","",A556-WEEKDAY(A556,2)+1)</f>
        <v/>
      </c>
      <c r="H556" s="26" t="str">
        <f aca="false">IF(A556="","",DATE(YEAR(A556),MONTH(A556),1))</f>
        <v/>
      </c>
    </row>
    <row r="557" customFormat="false" ht="15" hidden="false" customHeight="false" outlineLevel="0" collapsed="false">
      <c r="A557" s="22"/>
      <c r="B557" s="23"/>
      <c r="C557" s="23"/>
      <c r="D557" s="24"/>
      <c r="E557" s="23"/>
      <c r="F557" s="15" t="str">
        <f aca="false">IF(B557="","",IFERROR(INDEX(Configurações!$B$7:$B$30,MATCH(B557,Configurações!$A$7:$A$30,0)),"?"))</f>
        <v/>
      </c>
      <c r="G557" s="25" t="str">
        <f aca="false">IF(A557="","",A557-WEEKDAY(A557,2)+1)</f>
        <v/>
      </c>
      <c r="H557" s="26" t="str">
        <f aca="false">IF(A557="","",DATE(YEAR(A557),MONTH(A557),1))</f>
        <v/>
      </c>
    </row>
    <row r="558" customFormat="false" ht="15" hidden="false" customHeight="false" outlineLevel="0" collapsed="false">
      <c r="A558" s="22"/>
      <c r="B558" s="23"/>
      <c r="C558" s="23"/>
      <c r="D558" s="24"/>
      <c r="E558" s="23"/>
      <c r="F558" s="15" t="str">
        <f aca="false">IF(B558="","",IFERROR(INDEX(Configurações!$B$7:$B$30,MATCH(B558,Configurações!$A$7:$A$30,0)),"?"))</f>
        <v/>
      </c>
      <c r="G558" s="25" t="str">
        <f aca="false">IF(A558="","",A558-WEEKDAY(A558,2)+1)</f>
        <v/>
      </c>
      <c r="H558" s="26" t="str">
        <f aca="false">IF(A558="","",DATE(YEAR(A558),MONTH(A558),1))</f>
        <v/>
      </c>
    </row>
    <row r="559" customFormat="false" ht="15" hidden="false" customHeight="false" outlineLevel="0" collapsed="false">
      <c r="A559" s="22"/>
      <c r="B559" s="23"/>
      <c r="C559" s="23"/>
      <c r="D559" s="24"/>
      <c r="E559" s="23"/>
      <c r="F559" s="15" t="str">
        <f aca="false">IF(B559="","",IFERROR(INDEX(Configurações!$B$7:$B$30,MATCH(B559,Configurações!$A$7:$A$30,0)),"?"))</f>
        <v/>
      </c>
      <c r="G559" s="25" t="str">
        <f aca="false">IF(A559="","",A559-WEEKDAY(A559,2)+1)</f>
        <v/>
      </c>
      <c r="H559" s="26" t="str">
        <f aca="false">IF(A559="","",DATE(YEAR(A559),MONTH(A559),1))</f>
        <v/>
      </c>
    </row>
    <row r="560" customFormat="false" ht="15" hidden="false" customHeight="false" outlineLevel="0" collapsed="false">
      <c r="A560" s="22"/>
      <c r="B560" s="23"/>
      <c r="C560" s="23"/>
      <c r="D560" s="24"/>
      <c r="E560" s="23"/>
      <c r="F560" s="15" t="str">
        <f aca="false">IF(B560="","",IFERROR(INDEX(Configurações!$B$7:$B$30,MATCH(B560,Configurações!$A$7:$A$30,0)),"?"))</f>
        <v/>
      </c>
      <c r="G560" s="25" t="str">
        <f aca="false">IF(A560="","",A560-WEEKDAY(A560,2)+1)</f>
        <v/>
      </c>
      <c r="H560" s="26" t="str">
        <f aca="false">IF(A560="","",DATE(YEAR(A560),MONTH(A560),1))</f>
        <v/>
      </c>
    </row>
    <row r="561" customFormat="false" ht="15" hidden="false" customHeight="false" outlineLevel="0" collapsed="false">
      <c r="A561" s="22"/>
      <c r="B561" s="23"/>
      <c r="C561" s="23"/>
      <c r="D561" s="24"/>
      <c r="E561" s="23"/>
      <c r="F561" s="15" t="str">
        <f aca="false">IF(B561="","",IFERROR(INDEX(Configurações!$B$7:$B$30,MATCH(B561,Configurações!$A$7:$A$30,0)),"?"))</f>
        <v/>
      </c>
      <c r="G561" s="25" t="str">
        <f aca="false">IF(A561="","",A561-WEEKDAY(A561,2)+1)</f>
        <v/>
      </c>
      <c r="H561" s="26" t="str">
        <f aca="false">IF(A561="","",DATE(YEAR(A561),MONTH(A561),1))</f>
        <v/>
      </c>
    </row>
    <row r="562" customFormat="false" ht="15" hidden="false" customHeight="false" outlineLevel="0" collapsed="false">
      <c r="A562" s="22"/>
      <c r="B562" s="23"/>
      <c r="C562" s="23"/>
      <c r="D562" s="24"/>
      <c r="E562" s="23"/>
      <c r="F562" s="15" t="str">
        <f aca="false">IF(B562="","",IFERROR(INDEX(Configurações!$B$7:$B$30,MATCH(B562,Configurações!$A$7:$A$30,0)),"?"))</f>
        <v/>
      </c>
      <c r="G562" s="25" t="str">
        <f aca="false">IF(A562="","",A562-WEEKDAY(A562,2)+1)</f>
        <v/>
      </c>
      <c r="H562" s="26" t="str">
        <f aca="false">IF(A562="","",DATE(YEAR(A562),MONTH(A562),1))</f>
        <v/>
      </c>
    </row>
    <row r="563" customFormat="false" ht="15" hidden="false" customHeight="false" outlineLevel="0" collapsed="false">
      <c r="A563" s="22"/>
      <c r="B563" s="23"/>
      <c r="C563" s="23"/>
      <c r="D563" s="24"/>
      <c r="E563" s="23"/>
      <c r="F563" s="15" t="str">
        <f aca="false">IF(B563="","",IFERROR(INDEX(Configurações!$B$7:$B$30,MATCH(B563,Configurações!$A$7:$A$30,0)),"?"))</f>
        <v/>
      </c>
      <c r="G563" s="25" t="str">
        <f aca="false">IF(A563="","",A563-WEEKDAY(A563,2)+1)</f>
        <v/>
      </c>
      <c r="H563" s="26" t="str">
        <f aca="false">IF(A563="","",DATE(YEAR(A563),MONTH(A563),1))</f>
        <v/>
      </c>
    </row>
    <row r="564" customFormat="false" ht="15" hidden="false" customHeight="false" outlineLevel="0" collapsed="false">
      <c r="A564" s="22"/>
      <c r="B564" s="23"/>
      <c r="C564" s="23"/>
      <c r="D564" s="24"/>
      <c r="E564" s="23"/>
      <c r="F564" s="15" t="str">
        <f aca="false">IF(B564="","",IFERROR(INDEX(Configurações!$B$7:$B$30,MATCH(B564,Configurações!$A$7:$A$30,0)),"?"))</f>
        <v/>
      </c>
      <c r="G564" s="25" t="str">
        <f aca="false">IF(A564="","",A564-WEEKDAY(A564,2)+1)</f>
        <v/>
      </c>
      <c r="H564" s="26" t="str">
        <f aca="false">IF(A564="","",DATE(YEAR(A564),MONTH(A564),1))</f>
        <v/>
      </c>
    </row>
    <row r="565" customFormat="false" ht="15" hidden="false" customHeight="false" outlineLevel="0" collapsed="false">
      <c r="A565" s="22"/>
      <c r="B565" s="23"/>
      <c r="C565" s="23"/>
      <c r="D565" s="24"/>
      <c r="E565" s="23"/>
      <c r="F565" s="15" t="str">
        <f aca="false">IF(B565="","",IFERROR(INDEX(Configurações!$B$7:$B$30,MATCH(B565,Configurações!$A$7:$A$30,0)),"?"))</f>
        <v/>
      </c>
      <c r="G565" s="25" t="str">
        <f aca="false">IF(A565="","",A565-WEEKDAY(A565,2)+1)</f>
        <v/>
      </c>
      <c r="H565" s="26" t="str">
        <f aca="false">IF(A565="","",DATE(YEAR(A565),MONTH(A565),1))</f>
        <v/>
      </c>
    </row>
    <row r="566" customFormat="false" ht="15" hidden="false" customHeight="false" outlineLevel="0" collapsed="false">
      <c r="A566" s="22"/>
      <c r="B566" s="23"/>
      <c r="C566" s="23"/>
      <c r="D566" s="24"/>
      <c r="E566" s="23"/>
      <c r="F566" s="15" t="str">
        <f aca="false">IF(B566="","",IFERROR(INDEX(Configurações!$B$7:$B$30,MATCH(B566,Configurações!$A$7:$A$30,0)),"?"))</f>
        <v/>
      </c>
      <c r="G566" s="25" t="str">
        <f aca="false">IF(A566="","",A566-WEEKDAY(A566,2)+1)</f>
        <v/>
      </c>
      <c r="H566" s="26" t="str">
        <f aca="false">IF(A566="","",DATE(YEAR(A566),MONTH(A566),1))</f>
        <v/>
      </c>
    </row>
    <row r="567" customFormat="false" ht="15" hidden="false" customHeight="false" outlineLevel="0" collapsed="false">
      <c r="A567" s="22"/>
      <c r="B567" s="23"/>
      <c r="C567" s="23"/>
      <c r="D567" s="24"/>
      <c r="E567" s="23"/>
      <c r="F567" s="15" t="str">
        <f aca="false">IF(B567="","",IFERROR(INDEX(Configurações!$B$7:$B$30,MATCH(B567,Configurações!$A$7:$A$30,0)),"?"))</f>
        <v/>
      </c>
      <c r="G567" s="25" t="str">
        <f aca="false">IF(A567="","",A567-WEEKDAY(A567,2)+1)</f>
        <v/>
      </c>
      <c r="H567" s="26" t="str">
        <f aca="false">IF(A567="","",DATE(YEAR(A567),MONTH(A567),1))</f>
        <v/>
      </c>
    </row>
    <row r="568" customFormat="false" ht="15" hidden="false" customHeight="false" outlineLevel="0" collapsed="false">
      <c r="A568" s="22"/>
      <c r="B568" s="23"/>
      <c r="C568" s="23"/>
      <c r="D568" s="24"/>
      <c r="E568" s="23"/>
      <c r="F568" s="15" t="str">
        <f aca="false">IF(B568="","",IFERROR(INDEX(Configurações!$B$7:$B$30,MATCH(B568,Configurações!$A$7:$A$30,0)),"?"))</f>
        <v/>
      </c>
      <c r="G568" s="25" t="str">
        <f aca="false">IF(A568="","",A568-WEEKDAY(A568,2)+1)</f>
        <v/>
      </c>
      <c r="H568" s="26" t="str">
        <f aca="false">IF(A568="","",DATE(YEAR(A568),MONTH(A568),1))</f>
        <v/>
      </c>
    </row>
    <row r="569" customFormat="false" ht="15" hidden="false" customHeight="false" outlineLevel="0" collapsed="false">
      <c r="A569" s="22"/>
      <c r="B569" s="23"/>
      <c r="C569" s="23"/>
      <c r="D569" s="24"/>
      <c r="E569" s="23"/>
      <c r="F569" s="15" t="str">
        <f aca="false">IF(B569="","",IFERROR(INDEX(Configurações!$B$7:$B$30,MATCH(B569,Configurações!$A$7:$A$30,0)),"?"))</f>
        <v/>
      </c>
      <c r="G569" s="25" t="str">
        <f aca="false">IF(A569="","",A569-WEEKDAY(A569,2)+1)</f>
        <v/>
      </c>
      <c r="H569" s="26" t="str">
        <f aca="false">IF(A569="","",DATE(YEAR(A569),MONTH(A569),1))</f>
        <v/>
      </c>
    </row>
    <row r="570" customFormat="false" ht="15" hidden="false" customHeight="false" outlineLevel="0" collapsed="false">
      <c r="A570" s="22"/>
      <c r="B570" s="23"/>
      <c r="C570" s="23"/>
      <c r="D570" s="24"/>
      <c r="E570" s="23"/>
      <c r="F570" s="15" t="str">
        <f aca="false">IF(B570="","",IFERROR(INDEX(Configurações!$B$7:$B$30,MATCH(B570,Configurações!$A$7:$A$30,0)),"?"))</f>
        <v/>
      </c>
      <c r="G570" s="25" t="str">
        <f aca="false">IF(A570="","",A570-WEEKDAY(A570,2)+1)</f>
        <v/>
      </c>
      <c r="H570" s="26" t="str">
        <f aca="false">IF(A570="","",DATE(YEAR(A570),MONTH(A570),1))</f>
        <v/>
      </c>
    </row>
    <row r="571" customFormat="false" ht="15" hidden="false" customHeight="false" outlineLevel="0" collapsed="false">
      <c r="A571" s="22"/>
      <c r="B571" s="23"/>
      <c r="C571" s="23"/>
      <c r="D571" s="24"/>
      <c r="E571" s="23"/>
      <c r="F571" s="15" t="str">
        <f aca="false">IF(B571="","",IFERROR(INDEX(Configurações!$B$7:$B$30,MATCH(B571,Configurações!$A$7:$A$30,0)),"?"))</f>
        <v/>
      </c>
      <c r="G571" s="25" t="str">
        <f aca="false">IF(A571="","",A571-WEEKDAY(A571,2)+1)</f>
        <v/>
      </c>
      <c r="H571" s="26" t="str">
        <f aca="false">IF(A571="","",DATE(YEAR(A571),MONTH(A571),1))</f>
        <v/>
      </c>
    </row>
    <row r="572" customFormat="false" ht="15" hidden="false" customHeight="false" outlineLevel="0" collapsed="false">
      <c r="A572" s="22"/>
      <c r="B572" s="23"/>
      <c r="C572" s="23"/>
      <c r="D572" s="24"/>
      <c r="E572" s="23"/>
      <c r="F572" s="15" t="str">
        <f aca="false">IF(B572="","",IFERROR(INDEX(Configurações!$B$7:$B$30,MATCH(B572,Configurações!$A$7:$A$30,0)),"?"))</f>
        <v/>
      </c>
      <c r="G572" s="25" t="str">
        <f aca="false">IF(A572="","",A572-WEEKDAY(A572,2)+1)</f>
        <v/>
      </c>
      <c r="H572" s="26" t="str">
        <f aca="false">IF(A572="","",DATE(YEAR(A572),MONTH(A572),1))</f>
        <v/>
      </c>
    </row>
    <row r="573" customFormat="false" ht="15" hidden="false" customHeight="false" outlineLevel="0" collapsed="false">
      <c r="A573" s="22"/>
      <c r="B573" s="23"/>
      <c r="C573" s="23"/>
      <c r="D573" s="24"/>
      <c r="E573" s="23"/>
      <c r="F573" s="15" t="str">
        <f aca="false">IF(B573="","",IFERROR(INDEX(Configurações!$B$7:$B$30,MATCH(B573,Configurações!$A$7:$A$30,0)),"?"))</f>
        <v/>
      </c>
      <c r="G573" s="25" t="str">
        <f aca="false">IF(A573="","",A573-WEEKDAY(A573,2)+1)</f>
        <v/>
      </c>
      <c r="H573" s="26" t="str">
        <f aca="false">IF(A573="","",DATE(YEAR(A573),MONTH(A573),1))</f>
        <v/>
      </c>
    </row>
    <row r="574" customFormat="false" ht="15" hidden="false" customHeight="false" outlineLevel="0" collapsed="false">
      <c r="A574" s="22"/>
      <c r="B574" s="23"/>
      <c r="C574" s="23"/>
      <c r="D574" s="24"/>
      <c r="E574" s="23"/>
      <c r="F574" s="15" t="str">
        <f aca="false">IF(B574="","",IFERROR(INDEX(Configurações!$B$7:$B$30,MATCH(B574,Configurações!$A$7:$A$30,0)),"?"))</f>
        <v/>
      </c>
      <c r="G574" s="25" t="str">
        <f aca="false">IF(A574="","",A574-WEEKDAY(A574,2)+1)</f>
        <v/>
      </c>
      <c r="H574" s="26" t="str">
        <f aca="false">IF(A574="","",DATE(YEAR(A574),MONTH(A574),1))</f>
        <v/>
      </c>
    </row>
    <row r="575" customFormat="false" ht="15" hidden="false" customHeight="false" outlineLevel="0" collapsed="false">
      <c r="A575" s="22"/>
      <c r="B575" s="23"/>
      <c r="C575" s="23"/>
      <c r="D575" s="24"/>
      <c r="E575" s="23"/>
      <c r="F575" s="15" t="str">
        <f aca="false">IF(B575="","",IFERROR(INDEX(Configurações!$B$7:$B$30,MATCH(B575,Configurações!$A$7:$A$30,0)),"?"))</f>
        <v/>
      </c>
      <c r="G575" s="25" t="str">
        <f aca="false">IF(A575="","",A575-WEEKDAY(A575,2)+1)</f>
        <v/>
      </c>
      <c r="H575" s="26" t="str">
        <f aca="false">IF(A575="","",DATE(YEAR(A575),MONTH(A575),1))</f>
        <v/>
      </c>
    </row>
    <row r="576" customFormat="false" ht="15" hidden="false" customHeight="false" outlineLevel="0" collapsed="false">
      <c r="A576" s="22"/>
      <c r="B576" s="23"/>
      <c r="C576" s="23"/>
      <c r="D576" s="24"/>
      <c r="E576" s="23"/>
      <c r="F576" s="15" t="str">
        <f aca="false">IF(B576="","",IFERROR(INDEX(Configurações!$B$7:$B$30,MATCH(B576,Configurações!$A$7:$A$30,0)),"?"))</f>
        <v/>
      </c>
      <c r="G576" s="25" t="str">
        <f aca="false">IF(A576="","",A576-WEEKDAY(A576,2)+1)</f>
        <v/>
      </c>
      <c r="H576" s="26" t="str">
        <f aca="false">IF(A576="","",DATE(YEAR(A576),MONTH(A576),1))</f>
        <v/>
      </c>
    </row>
    <row r="577" customFormat="false" ht="15" hidden="false" customHeight="false" outlineLevel="0" collapsed="false">
      <c r="A577" s="22"/>
      <c r="B577" s="23"/>
      <c r="C577" s="23"/>
      <c r="D577" s="24"/>
      <c r="E577" s="23"/>
      <c r="F577" s="15" t="str">
        <f aca="false">IF(B577="","",IFERROR(INDEX(Configurações!$B$7:$B$30,MATCH(B577,Configurações!$A$7:$A$30,0)),"?"))</f>
        <v/>
      </c>
      <c r="G577" s="25" t="str">
        <f aca="false">IF(A577="","",A577-WEEKDAY(A577,2)+1)</f>
        <v/>
      </c>
      <c r="H577" s="26" t="str">
        <f aca="false">IF(A577="","",DATE(YEAR(A577),MONTH(A577),1))</f>
        <v/>
      </c>
    </row>
    <row r="578" customFormat="false" ht="15" hidden="false" customHeight="false" outlineLevel="0" collapsed="false">
      <c r="A578" s="22"/>
      <c r="B578" s="23"/>
      <c r="C578" s="23"/>
      <c r="D578" s="24"/>
      <c r="E578" s="23"/>
      <c r="F578" s="15" t="str">
        <f aca="false">IF(B578="","",IFERROR(INDEX(Configurações!$B$7:$B$30,MATCH(B578,Configurações!$A$7:$A$30,0)),"?"))</f>
        <v/>
      </c>
      <c r="G578" s="25" t="str">
        <f aca="false">IF(A578="","",A578-WEEKDAY(A578,2)+1)</f>
        <v/>
      </c>
      <c r="H578" s="26" t="str">
        <f aca="false">IF(A578="","",DATE(YEAR(A578),MONTH(A578),1))</f>
        <v/>
      </c>
    </row>
    <row r="579" customFormat="false" ht="15" hidden="false" customHeight="false" outlineLevel="0" collapsed="false">
      <c r="A579" s="22"/>
      <c r="B579" s="23"/>
      <c r="C579" s="23"/>
      <c r="D579" s="24"/>
      <c r="E579" s="23"/>
      <c r="F579" s="15" t="str">
        <f aca="false">IF(B579="","",IFERROR(INDEX(Configurações!$B$7:$B$30,MATCH(B579,Configurações!$A$7:$A$30,0)),"?"))</f>
        <v/>
      </c>
      <c r="G579" s="25" t="str">
        <f aca="false">IF(A579="","",A579-WEEKDAY(A579,2)+1)</f>
        <v/>
      </c>
      <c r="H579" s="26" t="str">
        <f aca="false">IF(A579="","",DATE(YEAR(A579),MONTH(A579),1))</f>
        <v/>
      </c>
    </row>
    <row r="580" customFormat="false" ht="15" hidden="false" customHeight="false" outlineLevel="0" collapsed="false">
      <c r="A580" s="22"/>
      <c r="B580" s="23"/>
      <c r="C580" s="23"/>
      <c r="D580" s="24"/>
      <c r="E580" s="23"/>
      <c r="F580" s="15" t="str">
        <f aca="false">IF(B580="","",IFERROR(INDEX(Configurações!$B$7:$B$30,MATCH(B580,Configurações!$A$7:$A$30,0)),"?"))</f>
        <v/>
      </c>
      <c r="G580" s="25" t="str">
        <f aca="false">IF(A580="","",A580-WEEKDAY(A580,2)+1)</f>
        <v/>
      </c>
      <c r="H580" s="26" t="str">
        <f aca="false">IF(A580="","",DATE(YEAR(A580),MONTH(A580),1))</f>
        <v/>
      </c>
    </row>
    <row r="581" customFormat="false" ht="15" hidden="false" customHeight="false" outlineLevel="0" collapsed="false">
      <c r="A581" s="22"/>
      <c r="B581" s="23"/>
      <c r="C581" s="23"/>
      <c r="D581" s="24"/>
      <c r="E581" s="23"/>
      <c r="F581" s="15" t="str">
        <f aca="false">IF(B581="","",IFERROR(INDEX(Configurações!$B$7:$B$30,MATCH(B581,Configurações!$A$7:$A$30,0)),"?"))</f>
        <v/>
      </c>
      <c r="G581" s="25" t="str">
        <f aca="false">IF(A581="","",A581-WEEKDAY(A581,2)+1)</f>
        <v/>
      </c>
      <c r="H581" s="26" t="str">
        <f aca="false">IF(A581="","",DATE(YEAR(A581),MONTH(A581),1))</f>
        <v/>
      </c>
    </row>
    <row r="582" customFormat="false" ht="15" hidden="false" customHeight="false" outlineLevel="0" collapsed="false">
      <c r="A582" s="22"/>
      <c r="B582" s="23"/>
      <c r="C582" s="23"/>
      <c r="D582" s="24"/>
      <c r="E582" s="23"/>
      <c r="F582" s="15" t="str">
        <f aca="false">IF(B582="","",IFERROR(INDEX(Configurações!$B$7:$B$30,MATCH(B582,Configurações!$A$7:$A$30,0)),"?"))</f>
        <v/>
      </c>
      <c r="G582" s="25" t="str">
        <f aca="false">IF(A582="","",A582-WEEKDAY(A582,2)+1)</f>
        <v/>
      </c>
      <c r="H582" s="26" t="str">
        <f aca="false">IF(A582="","",DATE(YEAR(A582),MONTH(A582),1))</f>
        <v/>
      </c>
    </row>
    <row r="583" customFormat="false" ht="15" hidden="false" customHeight="false" outlineLevel="0" collapsed="false">
      <c r="A583" s="22"/>
      <c r="B583" s="23"/>
      <c r="C583" s="23"/>
      <c r="D583" s="24"/>
      <c r="E583" s="23"/>
      <c r="F583" s="15" t="str">
        <f aca="false">IF(B583="","",IFERROR(INDEX(Configurações!$B$7:$B$30,MATCH(B583,Configurações!$A$7:$A$30,0)),"?"))</f>
        <v/>
      </c>
      <c r="G583" s="25" t="str">
        <f aca="false">IF(A583="","",A583-WEEKDAY(A583,2)+1)</f>
        <v/>
      </c>
      <c r="H583" s="26" t="str">
        <f aca="false">IF(A583="","",DATE(YEAR(A583),MONTH(A583),1))</f>
        <v/>
      </c>
    </row>
    <row r="584" customFormat="false" ht="15" hidden="false" customHeight="false" outlineLevel="0" collapsed="false">
      <c r="A584" s="22"/>
      <c r="B584" s="23"/>
      <c r="C584" s="23"/>
      <c r="D584" s="24"/>
      <c r="E584" s="23"/>
      <c r="F584" s="15" t="str">
        <f aca="false">IF(B584="","",IFERROR(INDEX(Configurações!$B$7:$B$30,MATCH(B584,Configurações!$A$7:$A$30,0)),"?"))</f>
        <v/>
      </c>
      <c r="G584" s="25" t="str">
        <f aca="false">IF(A584="","",A584-WEEKDAY(A584,2)+1)</f>
        <v/>
      </c>
      <c r="H584" s="26" t="str">
        <f aca="false">IF(A584="","",DATE(YEAR(A584),MONTH(A584),1))</f>
        <v/>
      </c>
    </row>
    <row r="585" customFormat="false" ht="15" hidden="false" customHeight="false" outlineLevel="0" collapsed="false">
      <c r="A585" s="22"/>
      <c r="B585" s="23"/>
      <c r="C585" s="23"/>
      <c r="D585" s="24"/>
      <c r="E585" s="23"/>
      <c r="F585" s="15" t="str">
        <f aca="false">IF(B585="","",IFERROR(INDEX(Configurações!$B$7:$B$30,MATCH(B585,Configurações!$A$7:$A$30,0)),"?"))</f>
        <v/>
      </c>
      <c r="G585" s="25" t="str">
        <f aca="false">IF(A585="","",A585-WEEKDAY(A585,2)+1)</f>
        <v/>
      </c>
      <c r="H585" s="26" t="str">
        <f aca="false">IF(A585="","",DATE(YEAR(A585),MONTH(A585),1))</f>
        <v/>
      </c>
    </row>
    <row r="586" customFormat="false" ht="15" hidden="false" customHeight="false" outlineLevel="0" collapsed="false">
      <c r="A586" s="22"/>
      <c r="B586" s="23"/>
      <c r="C586" s="23"/>
      <c r="D586" s="24"/>
      <c r="E586" s="23"/>
      <c r="F586" s="15" t="str">
        <f aca="false">IF(B586="","",IFERROR(INDEX(Configurações!$B$7:$B$30,MATCH(B586,Configurações!$A$7:$A$30,0)),"?"))</f>
        <v/>
      </c>
      <c r="G586" s="25" t="str">
        <f aca="false">IF(A586="","",A586-WEEKDAY(A586,2)+1)</f>
        <v/>
      </c>
      <c r="H586" s="26" t="str">
        <f aca="false">IF(A586="","",DATE(YEAR(A586),MONTH(A586),1))</f>
        <v/>
      </c>
    </row>
    <row r="587" customFormat="false" ht="15" hidden="false" customHeight="false" outlineLevel="0" collapsed="false">
      <c r="A587" s="22"/>
      <c r="B587" s="23"/>
      <c r="C587" s="23"/>
      <c r="D587" s="24"/>
      <c r="E587" s="23"/>
      <c r="F587" s="15" t="str">
        <f aca="false">IF(B587="","",IFERROR(INDEX(Configurações!$B$7:$B$30,MATCH(B587,Configurações!$A$7:$A$30,0)),"?"))</f>
        <v/>
      </c>
      <c r="G587" s="25" t="str">
        <f aca="false">IF(A587="","",A587-WEEKDAY(A587,2)+1)</f>
        <v/>
      </c>
      <c r="H587" s="26" t="str">
        <f aca="false">IF(A587="","",DATE(YEAR(A587),MONTH(A587),1))</f>
        <v/>
      </c>
    </row>
    <row r="588" customFormat="false" ht="15" hidden="false" customHeight="false" outlineLevel="0" collapsed="false">
      <c r="A588" s="22"/>
      <c r="B588" s="23"/>
      <c r="C588" s="23"/>
      <c r="D588" s="24"/>
      <c r="E588" s="23"/>
      <c r="F588" s="15" t="str">
        <f aca="false">IF(B588="","",IFERROR(INDEX(Configurações!$B$7:$B$30,MATCH(B588,Configurações!$A$7:$A$30,0)),"?"))</f>
        <v/>
      </c>
      <c r="G588" s="25" t="str">
        <f aca="false">IF(A588="","",A588-WEEKDAY(A588,2)+1)</f>
        <v/>
      </c>
      <c r="H588" s="26" t="str">
        <f aca="false">IF(A588="","",DATE(YEAR(A588),MONTH(A588),1))</f>
        <v/>
      </c>
    </row>
    <row r="589" customFormat="false" ht="15" hidden="false" customHeight="false" outlineLevel="0" collapsed="false">
      <c r="A589" s="22"/>
      <c r="B589" s="23"/>
      <c r="C589" s="23"/>
      <c r="D589" s="24"/>
      <c r="E589" s="23"/>
      <c r="F589" s="15" t="str">
        <f aca="false">IF(B589="","",IFERROR(INDEX(Configurações!$B$7:$B$30,MATCH(B589,Configurações!$A$7:$A$30,0)),"?"))</f>
        <v/>
      </c>
      <c r="G589" s="25" t="str">
        <f aca="false">IF(A589="","",A589-WEEKDAY(A589,2)+1)</f>
        <v/>
      </c>
      <c r="H589" s="26" t="str">
        <f aca="false">IF(A589="","",DATE(YEAR(A589),MONTH(A589),1))</f>
        <v/>
      </c>
    </row>
    <row r="590" customFormat="false" ht="15" hidden="false" customHeight="false" outlineLevel="0" collapsed="false">
      <c r="A590" s="22"/>
      <c r="B590" s="23"/>
      <c r="C590" s="23"/>
      <c r="D590" s="24"/>
      <c r="E590" s="23"/>
      <c r="F590" s="15" t="str">
        <f aca="false">IF(B590="","",IFERROR(INDEX(Configurações!$B$7:$B$30,MATCH(B590,Configurações!$A$7:$A$30,0)),"?"))</f>
        <v/>
      </c>
      <c r="G590" s="25" t="str">
        <f aca="false">IF(A590="","",A590-WEEKDAY(A590,2)+1)</f>
        <v/>
      </c>
      <c r="H590" s="26" t="str">
        <f aca="false">IF(A590="","",DATE(YEAR(A590),MONTH(A590),1))</f>
        <v/>
      </c>
    </row>
    <row r="591" customFormat="false" ht="15" hidden="false" customHeight="false" outlineLevel="0" collapsed="false">
      <c r="A591" s="22"/>
      <c r="B591" s="23"/>
      <c r="C591" s="23"/>
      <c r="D591" s="24"/>
      <c r="E591" s="23"/>
      <c r="F591" s="15" t="str">
        <f aca="false">IF(B591="","",IFERROR(INDEX(Configurações!$B$7:$B$30,MATCH(B591,Configurações!$A$7:$A$30,0)),"?"))</f>
        <v/>
      </c>
      <c r="G591" s="25" t="str">
        <f aca="false">IF(A591="","",A591-WEEKDAY(A591,2)+1)</f>
        <v/>
      </c>
      <c r="H591" s="26" t="str">
        <f aca="false">IF(A591="","",DATE(YEAR(A591),MONTH(A591),1))</f>
        <v/>
      </c>
    </row>
    <row r="592" customFormat="false" ht="15" hidden="false" customHeight="false" outlineLevel="0" collapsed="false">
      <c r="A592" s="22"/>
      <c r="B592" s="23"/>
      <c r="C592" s="23"/>
      <c r="D592" s="24"/>
      <c r="E592" s="23"/>
      <c r="F592" s="15" t="str">
        <f aca="false">IF(B592="","",IFERROR(INDEX(Configurações!$B$7:$B$30,MATCH(B592,Configurações!$A$7:$A$30,0)),"?"))</f>
        <v/>
      </c>
      <c r="G592" s="25" t="str">
        <f aca="false">IF(A592="","",A592-WEEKDAY(A592,2)+1)</f>
        <v/>
      </c>
      <c r="H592" s="26" t="str">
        <f aca="false">IF(A592="","",DATE(YEAR(A592),MONTH(A592),1))</f>
        <v/>
      </c>
    </row>
    <row r="593" customFormat="false" ht="15" hidden="false" customHeight="false" outlineLevel="0" collapsed="false">
      <c r="A593" s="22"/>
      <c r="B593" s="23"/>
      <c r="C593" s="23"/>
      <c r="D593" s="24"/>
      <c r="E593" s="23"/>
      <c r="F593" s="15" t="str">
        <f aca="false">IF(B593="","",IFERROR(INDEX(Configurações!$B$7:$B$30,MATCH(B593,Configurações!$A$7:$A$30,0)),"?"))</f>
        <v/>
      </c>
      <c r="G593" s="25" t="str">
        <f aca="false">IF(A593="","",A593-WEEKDAY(A593,2)+1)</f>
        <v/>
      </c>
      <c r="H593" s="26" t="str">
        <f aca="false">IF(A593="","",DATE(YEAR(A593),MONTH(A593),1))</f>
        <v/>
      </c>
    </row>
    <row r="594" customFormat="false" ht="15" hidden="false" customHeight="false" outlineLevel="0" collapsed="false">
      <c r="A594" s="22"/>
      <c r="B594" s="23"/>
      <c r="C594" s="23"/>
      <c r="D594" s="24"/>
      <c r="E594" s="23"/>
      <c r="F594" s="15" t="str">
        <f aca="false">IF(B594="","",IFERROR(INDEX(Configurações!$B$7:$B$30,MATCH(B594,Configurações!$A$7:$A$30,0)),"?"))</f>
        <v/>
      </c>
      <c r="G594" s="25" t="str">
        <f aca="false">IF(A594="","",A594-WEEKDAY(A594,2)+1)</f>
        <v/>
      </c>
      <c r="H594" s="26" t="str">
        <f aca="false">IF(A594="","",DATE(YEAR(A594),MONTH(A594),1))</f>
        <v/>
      </c>
    </row>
    <row r="595" customFormat="false" ht="15" hidden="false" customHeight="false" outlineLevel="0" collapsed="false">
      <c r="A595" s="22"/>
      <c r="B595" s="23"/>
      <c r="C595" s="23"/>
      <c r="D595" s="24"/>
      <c r="E595" s="23"/>
      <c r="F595" s="15" t="str">
        <f aca="false">IF(B595="","",IFERROR(INDEX(Configurações!$B$7:$B$30,MATCH(B595,Configurações!$A$7:$A$30,0)),"?"))</f>
        <v/>
      </c>
      <c r="G595" s="25" t="str">
        <f aca="false">IF(A595="","",A595-WEEKDAY(A595,2)+1)</f>
        <v/>
      </c>
      <c r="H595" s="26" t="str">
        <f aca="false">IF(A595="","",DATE(YEAR(A595),MONTH(A595),1))</f>
        <v/>
      </c>
    </row>
    <row r="596" customFormat="false" ht="15" hidden="false" customHeight="false" outlineLevel="0" collapsed="false">
      <c r="A596" s="22"/>
      <c r="B596" s="23"/>
      <c r="C596" s="23"/>
      <c r="D596" s="24"/>
      <c r="E596" s="23"/>
      <c r="F596" s="15" t="str">
        <f aca="false">IF(B596="","",IFERROR(INDEX(Configurações!$B$7:$B$30,MATCH(B596,Configurações!$A$7:$A$30,0)),"?"))</f>
        <v/>
      </c>
      <c r="G596" s="25" t="str">
        <f aca="false">IF(A596="","",A596-WEEKDAY(A596,2)+1)</f>
        <v/>
      </c>
      <c r="H596" s="26" t="str">
        <f aca="false">IF(A596="","",DATE(YEAR(A596),MONTH(A596),1))</f>
        <v/>
      </c>
    </row>
    <row r="597" customFormat="false" ht="15" hidden="false" customHeight="false" outlineLevel="0" collapsed="false">
      <c r="A597" s="22"/>
      <c r="B597" s="23"/>
      <c r="C597" s="23"/>
      <c r="D597" s="24"/>
      <c r="E597" s="23"/>
      <c r="F597" s="15" t="str">
        <f aca="false">IF(B597="","",IFERROR(INDEX(Configurações!$B$7:$B$30,MATCH(B597,Configurações!$A$7:$A$30,0)),"?"))</f>
        <v/>
      </c>
      <c r="G597" s="25" t="str">
        <f aca="false">IF(A597="","",A597-WEEKDAY(A597,2)+1)</f>
        <v/>
      </c>
      <c r="H597" s="26" t="str">
        <f aca="false">IF(A597="","",DATE(YEAR(A597),MONTH(A597),1))</f>
        <v/>
      </c>
    </row>
    <row r="598" customFormat="false" ht="15" hidden="false" customHeight="false" outlineLevel="0" collapsed="false">
      <c r="A598" s="22"/>
      <c r="B598" s="23"/>
      <c r="C598" s="23"/>
      <c r="D598" s="24"/>
      <c r="E598" s="23"/>
      <c r="F598" s="15" t="str">
        <f aca="false">IF(B598="","",IFERROR(INDEX(Configurações!$B$7:$B$30,MATCH(B598,Configurações!$A$7:$A$30,0)),"?"))</f>
        <v/>
      </c>
      <c r="G598" s="25" t="str">
        <f aca="false">IF(A598="","",A598-WEEKDAY(A598,2)+1)</f>
        <v/>
      </c>
      <c r="H598" s="26" t="str">
        <f aca="false">IF(A598="","",DATE(YEAR(A598),MONTH(A598),1))</f>
        <v/>
      </c>
    </row>
    <row r="599" customFormat="false" ht="15" hidden="false" customHeight="false" outlineLevel="0" collapsed="false">
      <c r="A599" s="22"/>
      <c r="B599" s="23"/>
      <c r="C599" s="23"/>
      <c r="D599" s="24"/>
      <c r="E599" s="23"/>
      <c r="F599" s="15" t="str">
        <f aca="false">IF(B599="","",IFERROR(INDEX(Configurações!$B$7:$B$30,MATCH(B599,Configurações!$A$7:$A$30,0)),"?"))</f>
        <v/>
      </c>
      <c r="G599" s="25" t="str">
        <f aca="false">IF(A599="","",A599-WEEKDAY(A599,2)+1)</f>
        <v/>
      </c>
      <c r="H599" s="26" t="str">
        <f aca="false">IF(A599="","",DATE(YEAR(A599),MONTH(A599),1))</f>
        <v/>
      </c>
    </row>
    <row r="600" customFormat="false" ht="15" hidden="false" customHeight="false" outlineLevel="0" collapsed="false">
      <c r="A600" s="22"/>
      <c r="B600" s="23"/>
      <c r="C600" s="23"/>
      <c r="D600" s="24"/>
      <c r="E600" s="23"/>
      <c r="F600" s="15" t="str">
        <f aca="false">IF(B600="","",IFERROR(INDEX(Configurações!$B$7:$B$30,MATCH(B600,Configurações!$A$7:$A$30,0)),"?"))</f>
        <v/>
      </c>
      <c r="G600" s="25" t="str">
        <f aca="false">IF(A600="","",A600-WEEKDAY(A600,2)+1)</f>
        <v/>
      </c>
      <c r="H600" s="26" t="str">
        <f aca="false">IF(A600="","",DATE(YEAR(A600),MONTH(A600),1))</f>
        <v/>
      </c>
    </row>
    <row r="601" customFormat="false" ht="15" hidden="false" customHeight="false" outlineLevel="0" collapsed="false">
      <c r="A601" s="22"/>
      <c r="B601" s="23"/>
      <c r="C601" s="23"/>
      <c r="D601" s="24"/>
      <c r="E601" s="23"/>
      <c r="F601" s="15" t="str">
        <f aca="false">IF(B601="","",IFERROR(INDEX(Configurações!$B$7:$B$30,MATCH(B601,Configurações!$A$7:$A$30,0)),"?"))</f>
        <v/>
      </c>
      <c r="G601" s="25" t="str">
        <f aca="false">IF(A601="","",A601-WEEKDAY(A601,2)+1)</f>
        <v/>
      </c>
      <c r="H601" s="26" t="str">
        <f aca="false">IF(A601="","",DATE(YEAR(A601),MONTH(A601),1))</f>
        <v/>
      </c>
    </row>
    <row r="602" customFormat="false" ht="15" hidden="false" customHeight="false" outlineLevel="0" collapsed="false">
      <c r="A602" s="22"/>
      <c r="B602" s="23"/>
      <c r="C602" s="23"/>
      <c r="D602" s="24"/>
      <c r="E602" s="23"/>
      <c r="F602" s="15" t="str">
        <f aca="false">IF(B602="","",IFERROR(INDEX(Configurações!$B$7:$B$30,MATCH(B602,Configurações!$A$7:$A$30,0)),"?"))</f>
        <v/>
      </c>
      <c r="G602" s="25" t="str">
        <f aca="false">IF(A602="","",A602-WEEKDAY(A602,2)+1)</f>
        <v/>
      </c>
      <c r="H602" s="26" t="str">
        <f aca="false">IF(A602="","",DATE(YEAR(A602),MONTH(A602),1))</f>
        <v/>
      </c>
    </row>
    <row r="603" customFormat="false" ht="15" hidden="false" customHeight="false" outlineLevel="0" collapsed="false">
      <c r="A603" s="22"/>
      <c r="B603" s="23"/>
      <c r="C603" s="23"/>
      <c r="D603" s="24"/>
      <c r="E603" s="23"/>
      <c r="F603" s="15" t="str">
        <f aca="false">IF(B603="","",IFERROR(INDEX(Configurações!$B$7:$B$30,MATCH(B603,Configurações!$A$7:$A$30,0)),"?"))</f>
        <v/>
      </c>
      <c r="G603" s="25" t="str">
        <f aca="false">IF(A603="","",A603-WEEKDAY(A603,2)+1)</f>
        <v/>
      </c>
      <c r="H603" s="26" t="str">
        <f aca="false">IF(A603="","",DATE(YEAR(A603),MONTH(A603),1))</f>
        <v/>
      </c>
    </row>
    <row r="604" customFormat="false" ht="15" hidden="false" customHeight="false" outlineLevel="0" collapsed="false">
      <c r="A604" s="22"/>
      <c r="B604" s="23"/>
      <c r="C604" s="23"/>
      <c r="D604" s="24"/>
      <c r="E604" s="23"/>
      <c r="F604" s="15" t="str">
        <f aca="false">IF(B604="","",IFERROR(INDEX(Configurações!$B$7:$B$30,MATCH(B604,Configurações!$A$7:$A$30,0)),"?"))</f>
        <v/>
      </c>
      <c r="G604" s="25" t="str">
        <f aca="false">IF(A604="","",A604-WEEKDAY(A604,2)+1)</f>
        <v/>
      </c>
      <c r="H604" s="26" t="str">
        <f aca="false">IF(A604="","",DATE(YEAR(A604),MONTH(A604),1))</f>
        <v/>
      </c>
    </row>
    <row r="605" customFormat="false" ht="15" hidden="false" customHeight="false" outlineLevel="0" collapsed="false">
      <c r="A605" s="22"/>
      <c r="B605" s="23"/>
      <c r="C605" s="23"/>
      <c r="D605" s="24"/>
      <c r="E605" s="23"/>
      <c r="F605" s="15" t="str">
        <f aca="false">IF(B605="","",IFERROR(INDEX(Configurações!$B$7:$B$30,MATCH(B605,Configurações!$A$7:$A$30,0)),"?"))</f>
        <v/>
      </c>
      <c r="G605" s="25" t="str">
        <f aca="false">IF(A605="","",A605-WEEKDAY(A605,2)+1)</f>
        <v/>
      </c>
      <c r="H605" s="26" t="str">
        <f aca="false">IF(A605="","",DATE(YEAR(A605),MONTH(A605),1))</f>
        <v/>
      </c>
    </row>
    <row r="606" customFormat="false" ht="15" hidden="false" customHeight="false" outlineLevel="0" collapsed="false">
      <c r="A606" s="22"/>
      <c r="B606" s="23"/>
      <c r="C606" s="23"/>
      <c r="D606" s="24"/>
      <c r="E606" s="23"/>
      <c r="F606" s="15" t="str">
        <f aca="false">IF(B606="","",IFERROR(INDEX(Configurações!$B$7:$B$30,MATCH(B606,Configurações!$A$7:$A$30,0)),"?"))</f>
        <v/>
      </c>
      <c r="G606" s="25" t="str">
        <f aca="false">IF(A606="","",A606-WEEKDAY(A606,2)+1)</f>
        <v/>
      </c>
      <c r="H606" s="26" t="str">
        <f aca="false">IF(A606="","",DATE(YEAR(A606),MONTH(A606),1))</f>
        <v/>
      </c>
    </row>
    <row r="607" customFormat="false" ht="15" hidden="false" customHeight="false" outlineLevel="0" collapsed="false">
      <c r="A607" s="22"/>
      <c r="B607" s="23"/>
      <c r="C607" s="23"/>
      <c r="D607" s="24"/>
      <c r="E607" s="23"/>
      <c r="F607" s="15" t="str">
        <f aca="false">IF(B607="","",IFERROR(INDEX(Configurações!$B$7:$B$30,MATCH(B607,Configurações!$A$7:$A$30,0)),"?"))</f>
        <v/>
      </c>
      <c r="G607" s="25" t="str">
        <f aca="false">IF(A607="","",A607-WEEKDAY(A607,2)+1)</f>
        <v/>
      </c>
      <c r="H607" s="26" t="str">
        <f aca="false">IF(A607="","",DATE(YEAR(A607),MONTH(A607),1))</f>
        <v/>
      </c>
    </row>
    <row r="608" customFormat="false" ht="15" hidden="false" customHeight="false" outlineLevel="0" collapsed="false">
      <c r="A608" s="22"/>
      <c r="B608" s="23"/>
      <c r="C608" s="23"/>
      <c r="D608" s="24"/>
      <c r="E608" s="23"/>
      <c r="F608" s="15" t="str">
        <f aca="false">IF(B608="","",IFERROR(INDEX(Configurações!$B$7:$B$30,MATCH(B608,Configurações!$A$7:$A$30,0)),"?"))</f>
        <v/>
      </c>
      <c r="G608" s="25" t="str">
        <f aca="false">IF(A608="","",A608-WEEKDAY(A608,2)+1)</f>
        <v/>
      </c>
      <c r="H608" s="26" t="str">
        <f aca="false">IF(A608="","",DATE(YEAR(A608),MONTH(A608),1))</f>
        <v/>
      </c>
    </row>
    <row r="609" customFormat="false" ht="15" hidden="false" customHeight="false" outlineLevel="0" collapsed="false">
      <c r="A609" s="22"/>
      <c r="B609" s="23"/>
      <c r="C609" s="23"/>
      <c r="D609" s="24"/>
      <c r="E609" s="23"/>
      <c r="F609" s="15" t="str">
        <f aca="false">IF(B609="","",IFERROR(INDEX(Configurações!$B$7:$B$30,MATCH(B609,Configurações!$A$7:$A$30,0)),"?"))</f>
        <v/>
      </c>
      <c r="G609" s="25" t="str">
        <f aca="false">IF(A609="","",A609-WEEKDAY(A609,2)+1)</f>
        <v/>
      </c>
      <c r="H609" s="26" t="str">
        <f aca="false">IF(A609="","",DATE(YEAR(A609),MONTH(A609),1))</f>
        <v/>
      </c>
    </row>
    <row r="610" customFormat="false" ht="15" hidden="false" customHeight="false" outlineLevel="0" collapsed="false">
      <c r="A610" s="22"/>
      <c r="B610" s="23"/>
      <c r="C610" s="23"/>
      <c r="D610" s="24"/>
      <c r="E610" s="23"/>
      <c r="F610" s="15" t="str">
        <f aca="false">IF(B610="","",IFERROR(INDEX(Configurações!$B$7:$B$30,MATCH(B610,Configurações!$A$7:$A$30,0)),"?"))</f>
        <v/>
      </c>
      <c r="G610" s="25" t="str">
        <f aca="false">IF(A610="","",A610-WEEKDAY(A610,2)+1)</f>
        <v/>
      </c>
      <c r="H610" s="26" t="str">
        <f aca="false">IF(A610="","",DATE(YEAR(A610),MONTH(A610),1))</f>
        <v/>
      </c>
    </row>
    <row r="611" customFormat="false" ht="15" hidden="false" customHeight="false" outlineLevel="0" collapsed="false">
      <c r="A611" s="22"/>
      <c r="B611" s="23"/>
      <c r="C611" s="23"/>
      <c r="D611" s="24"/>
      <c r="E611" s="23"/>
      <c r="F611" s="15" t="str">
        <f aca="false">IF(B611="","",IFERROR(INDEX(Configurações!$B$7:$B$30,MATCH(B611,Configurações!$A$7:$A$30,0)),"?"))</f>
        <v/>
      </c>
      <c r="G611" s="25" t="str">
        <f aca="false">IF(A611="","",A611-WEEKDAY(A611,2)+1)</f>
        <v/>
      </c>
      <c r="H611" s="26" t="str">
        <f aca="false">IF(A611="","",DATE(YEAR(A611),MONTH(A611),1))</f>
        <v/>
      </c>
    </row>
    <row r="612" customFormat="false" ht="15" hidden="false" customHeight="false" outlineLevel="0" collapsed="false">
      <c r="A612" s="22"/>
      <c r="B612" s="23"/>
      <c r="C612" s="23"/>
      <c r="D612" s="24"/>
      <c r="E612" s="23"/>
      <c r="F612" s="15" t="str">
        <f aca="false">IF(B612="","",IFERROR(INDEX(Configurações!$B$7:$B$30,MATCH(B612,Configurações!$A$7:$A$30,0)),"?"))</f>
        <v/>
      </c>
      <c r="G612" s="25" t="str">
        <f aca="false">IF(A612="","",A612-WEEKDAY(A612,2)+1)</f>
        <v/>
      </c>
      <c r="H612" s="26" t="str">
        <f aca="false">IF(A612="","",DATE(YEAR(A612),MONTH(A612),1))</f>
        <v/>
      </c>
    </row>
    <row r="613" customFormat="false" ht="15" hidden="false" customHeight="false" outlineLevel="0" collapsed="false">
      <c r="A613" s="22"/>
      <c r="B613" s="23"/>
      <c r="C613" s="23"/>
      <c r="D613" s="24"/>
      <c r="E613" s="23"/>
      <c r="F613" s="15" t="str">
        <f aca="false">IF(B613="","",IFERROR(INDEX(Configurações!$B$7:$B$30,MATCH(B613,Configurações!$A$7:$A$30,0)),"?"))</f>
        <v/>
      </c>
      <c r="G613" s="25" t="str">
        <f aca="false">IF(A613="","",A613-WEEKDAY(A613,2)+1)</f>
        <v/>
      </c>
      <c r="H613" s="26" t="str">
        <f aca="false">IF(A613="","",DATE(YEAR(A613),MONTH(A613),1))</f>
        <v/>
      </c>
    </row>
    <row r="614" customFormat="false" ht="15" hidden="false" customHeight="false" outlineLevel="0" collapsed="false">
      <c r="A614" s="22"/>
      <c r="B614" s="23"/>
      <c r="C614" s="23"/>
      <c r="D614" s="24"/>
      <c r="E614" s="23"/>
      <c r="F614" s="15" t="str">
        <f aca="false">IF(B614="","",IFERROR(INDEX(Configurações!$B$7:$B$30,MATCH(B614,Configurações!$A$7:$A$30,0)),"?"))</f>
        <v/>
      </c>
      <c r="G614" s="25" t="str">
        <f aca="false">IF(A614="","",A614-WEEKDAY(A614,2)+1)</f>
        <v/>
      </c>
      <c r="H614" s="26" t="str">
        <f aca="false">IF(A614="","",DATE(YEAR(A614),MONTH(A614),1))</f>
        <v/>
      </c>
    </row>
    <row r="615" customFormat="false" ht="15" hidden="false" customHeight="false" outlineLevel="0" collapsed="false">
      <c r="A615" s="22"/>
      <c r="B615" s="23"/>
      <c r="C615" s="23"/>
      <c r="D615" s="24"/>
      <c r="E615" s="23"/>
      <c r="F615" s="15" t="str">
        <f aca="false">IF(B615="","",IFERROR(INDEX(Configurações!$B$7:$B$30,MATCH(B615,Configurações!$A$7:$A$30,0)),"?"))</f>
        <v/>
      </c>
      <c r="G615" s="25" t="str">
        <f aca="false">IF(A615="","",A615-WEEKDAY(A615,2)+1)</f>
        <v/>
      </c>
      <c r="H615" s="26" t="str">
        <f aca="false">IF(A615="","",DATE(YEAR(A615),MONTH(A615),1))</f>
        <v/>
      </c>
    </row>
    <row r="616" customFormat="false" ht="15" hidden="false" customHeight="false" outlineLevel="0" collapsed="false">
      <c r="A616" s="22"/>
      <c r="B616" s="23"/>
      <c r="C616" s="23"/>
      <c r="D616" s="24"/>
      <c r="E616" s="23"/>
      <c r="F616" s="15" t="str">
        <f aca="false">IF(B616="","",IFERROR(INDEX(Configurações!$B$7:$B$30,MATCH(B616,Configurações!$A$7:$A$30,0)),"?"))</f>
        <v/>
      </c>
      <c r="G616" s="25" t="str">
        <f aca="false">IF(A616="","",A616-WEEKDAY(A616,2)+1)</f>
        <v/>
      </c>
      <c r="H616" s="26" t="str">
        <f aca="false">IF(A616="","",DATE(YEAR(A616),MONTH(A616),1))</f>
        <v/>
      </c>
    </row>
    <row r="617" customFormat="false" ht="15" hidden="false" customHeight="false" outlineLevel="0" collapsed="false">
      <c r="A617" s="22"/>
      <c r="B617" s="23"/>
      <c r="C617" s="23"/>
      <c r="D617" s="24"/>
      <c r="E617" s="23"/>
      <c r="F617" s="15" t="str">
        <f aca="false">IF(B617="","",IFERROR(INDEX(Configurações!$B$7:$B$30,MATCH(B617,Configurações!$A$7:$A$30,0)),"?"))</f>
        <v/>
      </c>
      <c r="G617" s="25" t="str">
        <f aca="false">IF(A617="","",A617-WEEKDAY(A617,2)+1)</f>
        <v/>
      </c>
      <c r="H617" s="26" t="str">
        <f aca="false">IF(A617="","",DATE(YEAR(A617),MONTH(A617),1))</f>
        <v/>
      </c>
    </row>
    <row r="618" customFormat="false" ht="15" hidden="false" customHeight="false" outlineLevel="0" collapsed="false">
      <c r="A618" s="22"/>
      <c r="B618" s="23"/>
      <c r="C618" s="23"/>
      <c r="D618" s="24"/>
      <c r="E618" s="23"/>
      <c r="F618" s="15" t="str">
        <f aca="false">IF(B618="","",IFERROR(INDEX(Configurações!$B$7:$B$30,MATCH(B618,Configurações!$A$7:$A$30,0)),"?"))</f>
        <v/>
      </c>
      <c r="G618" s="25" t="str">
        <f aca="false">IF(A618="","",A618-WEEKDAY(A618,2)+1)</f>
        <v/>
      </c>
      <c r="H618" s="26" t="str">
        <f aca="false">IF(A618="","",DATE(YEAR(A618),MONTH(A618),1))</f>
        <v/>
      </c>
    </row>
    <row r="619" customFormat="false" ht="15" hidden="false" customHeight="false" outlineLevel="0" collapsed="false">
      <c r="A619" s="22"/>
      <c r="B619" s="23"/>
      <c r="C619" s="23"/>
      <c r="D619" s="24"/>
      <c r="E619" s="23"/>
      <c r="F619" s="15" t="str">
        <f aca="false">IF(B619="","",IFERROR(INDEX(Configurações!$B$7:$B$30,MATCH(B619,Configurações!$A$7:$A$30,0)),"?"))</f>
        <v/>
      </c>
      <c r="G619" s="25" t="str">
        <f aca="false">IF(A619="","",A619-WEEKDAY(A619,2)+1)</f>
        <v/>
      </c>
      <c r="H619" s="26" t="str">
        <f aca="false">IF(A619="","",DATE(YEAR(A619),MONTH(A619),1))</f>
        <v/>
      </c>
    </row>
    <row r="620" customFormat="false" ht="15" hidden="false" customHeight="false" outlineLevel="0" collapsed="false">
      <c r="A620" s="22"/>
      <c r="B620" s="23"/>
      <c r="C620" s="23"/>
      <c r="D620" s="24"/>
      <c r="E620" s="23"/>
      <c r="F620" s="15" t="str">
        <f aca="false">IF(B620="","",IFERROR(INDEX(Configurações!$B$7:$B$30,MATCH(B620,Configurações!$A$7:$A$30,0)),"?"))</f>
        <v/>
      </c>
      <c r="G620" s="25" t="str">
        <f aca="false">IF(A620="","",A620-WEEKDAY(A620,2)+1)</f>
        <v/>
      </c>
      <c r="H620" s="26" t="str">
        <f aca="false">IF(A620="","",DATE(YEAR(A620),MONTH(A620),1))</f>
        <v/>
      </c>
    </row>
    <row r="621" customFormat="false" ht="15" hidden="false" customHeight="false" outlineLevel="0" collapsed="false">
      <c r="A621" s="22"/>
      <c r="B621" s="23"/>
      <c r="C621" s="23"/>
      <c r="D621" s="24"/>
      <c r="E621" s="23"/>
      <c r="F621" s="15" t="str">
        <f aca="false">IF(B621="","",IFERROR(INDEX(Configurações!$B$7:$B$30,MATCH(B621,Configurações!$A$7:$A$30,0)),"?"))</f>
        <v/>
      </c>
      <c r="G621" s="25" t="str">
        <f aca="false">IF(A621="","",A621-WEEKDAY(A621,2)+1)</f>
        <v/>
      </c>
      <c r="H621" s="26" t="str">
        <f aca="false">IF(A621="","",DATE(YEAR(A621),MONTH(A621),1))</f>
        <v/>
      </c>
    </row>
    <row r="622" customFormat="false" ht="15" hidden="false" customHeight="false" outlineLevel="0" collapsed="false">
      <c r="A622" s="22"/>
      <c r="B622" s="23"/>
      <c r="C622" s="23"/>
      <c r="D622" s="24"/>
      <c r="E622" s="23"/>
      <c r="F622" s="15" t="str">
        <f aca="false">IF(B622="","",IFERROR(INDEX(Configurações!$B$7:$B$30,MATCH(B622,Configurações!$A$7:$A$30,0)),"?"))</f>
        <v/>
      </c>
      <c r="G622" s="25" t="str">
        <f aca="false">IF(A622="","",A622-WEEKDAY(A622,2)+1)</f>
        <v/>
      </c>
      <c r="H622" s="26" t="str">
        <f aca="false">IF(A622="","",DATE(YEAR(A622),MONTH(A622),1))</f>
        <v/>
      </c>
    </row>
    <row r="623" customFormat="false" ht="15" hidden="false" customHeight="false" outlineLevel="0" collapsed="false">
      <c r="A623" s="22"/>
      <c r="B623" s="23"/>
      <c r="C623" s="23"/>
      <c r="D623" s="24"/>
      <c r="E623" s="23"/>
      <c r="F623" s="15" t="str">
        <f aca="false">IF(B623="","",IFERROR(INDEX(Configurações!$B$7:$B$30,MATCH(B623,Configurações!$A$7:$A$30,0)),"?"))</f>
        <v/>
      </c>
      <c r="G623" s="25" t="str">
        <f aca="false">IF(A623="","",A623-WEEKDAY(A623,2)+1)</f>
        <v/>
      </c>
      <c r="H623" s="26" t="str">
        <f aca="false">IF(A623="","",DATE(YEAR(A623),MONTH(A623),1))</f>
        <v/>
      </c>
    </row>
    <row r="624" customFormat="false" ht="15" hidden="false" customHeight="false" outlineLevel="0" collapsed="false">
      <c r="A624" s="22"/>
      <c r="B624" s="23"/>
      <c r="C624" s="23"/>
      <c r="D624" s="24"/>
      <c r="E624" s="23"/>
      <c r="F624" s="15" t="str">
        <f aca="false">IF(B624="","",IFERROR(INDEX(Configurações!$B$7:$B$30,MATCH(B624,Configurações!$A$7:$A$30,0)),"?"))</f>
        <v/>
      </c>
      <c r="G624" s="25" t="str">
        <f aca="false">IF(A624="","",A624-WEEKDAY(A624,2)+1)</f>
        <v/>
      </c>
      <c r="H624" s="26" t="str">
        <f aca="false">IF(A624="","",DATE(YEAR(A624),MONTH(A624),1))</f>
        <v/>
      </c>
    </row>
    <row r="625" customFormat="false" ht="15" hidden="false" customHeight="false" outlineLevel="0" collapsed="false">
      <c r="A625" s="22"/>
      <c r="B625" s="23"/>
      <c r="C625" s="23"/>
      <c r="D625" s="24"/>
      <c r="E625" s="23"/>
      <c r="F625" s="15" t="str">
        <f aca="false">IF(B625="","",IFERROR(INDEX(Configurações!$B$7:$B$30,MATCH(B625,Configurações!$A$7:$A$30,0)),"?"))</f>
        <v/>
      </c>
      <c r="G625" s="25" t="str">
        <f aca="false">IF(A625="","",A625-WEEKDAY(A625,2)+1)</f>
        <v/>
      </c>
      <c r="H625" s="26" t="str">
        <f aca="false">IF(A625="","",DATE(YEAR(A625),MONTH(A625),1))</f>
        <v/>
      </c>
    </row>
    <row r="626" customFormat="false" ht="15" hidden="false" customHeight="false" outlineLevel="0" collapsed="false">
      <c r="A626" s="22"/>
      <c r="B626" s="23"/>
      <c r="C626" s="23"/>
      <c r="D626" s="24"/>
      <c r="E626" s="23"/>
      <c r="F626" s="15" t="str">
        <f aca="false">IF(B626="","",IFERROR(INDEX(Configurações!$B$7:$B$30,MATCH(B626,Configurações!$A$7:$A$30,0)),"?"))</f>
        <v/>
      </c>
      <c r="G626" s="25" t="str">
        <f aca="false">IF(A626="","",A626-WEEKDAY(A626,2)+1)</f>
        <v/>
      </c>
      <c r="H626" s="26" t="str">
        <f aca="false">IF(A626="","",DATE(YEAR(A626),MONTH(A626),1))</f>
        <v/>
      </c>
    </row>
    <row r="627" customFormat="false" ht="15" hidden="false" customHeight="false" outlineLevel="0" collapsed="false">
      <c r="A627" s="22"/>
      <c r="B627" s="23"/>
      <c r="C627" s="23"/>
      <c r="D627" s="24"/>
      <c r="E627" s="23"/>
      <c r="F627" s="15" t="str">
        <f aca="false">IF(B627="","",IFERROR(INDEX(Configurações!$B$7:$B$30,MATCH(B627,Configurações!$A$7:$A$30,0)),"?"))</f>
        <v/>
      </c>
      <c r="G627" s="25" t="str">
        <f aca="false">IF(A627="","",A627-WEEKDAY(A627,2)+1)</f>
        <v/>
      </c>
      <c r="H627" s="26" t="str">
        <f aca="false">IF(A627="","",DATE(YEAR(A627),MONTH(A627),1))</f>
        <v/>
      </c>
    </row>
    <row r="628" customFormat="false" ht="15" hidden="false" customHeight="false" outlineLevel="0" collapsed="false">
      <c r="A628" s="22"/>
      <c r="B628" s="23"/>
      <c r="C628" s="23"/>
      <c r="D628" s="24"/>
      <c r="E628" s="23"/>
      <c r="F628" s="15" t="str">
        <f aca="false">IF(B628="","",IFERROR(INDEX(Configurações!$B$7:$B$30,MATCH(B628,Configurações!$A$7:$A$30,0)),"?"))</f>
        <v/>
      </c>
      <c r="G628" s="25" t="str">
        <f aca="false">IF(A628="","",A628-WEEKDAY(A628,2)+1)</f>
        <v/>
      </c>
      <c r="H628" s="26" t="str">
        <f aca="false">IF(A628="","",DATE(YEAR(A628),MONTH(A628),1))</f>
        <v/>
      </c>
    </row>
    <row r="629" customFormat="false" ht="15" hidden="false" customHeight="false" outlineLevel="0" collapsed="false">
      <c r="A629" s="22"/>
      <c r="B629" s="23"/>
      <c r="C629" s="23"/>
      <c r="D629" s="24"/>
      <c r="E629" s="23"/>
      <c r="F629" s="15" t="str">
        <f aca="false">IF(B629="","",IFERROR(INDEX(Configurações!$B$7:$B$30,MATCH(B629,Configurações!$A$7:$A$30,0)),"?"))</f>
        <v/>
      </c>
      <c r="G629" s="25" t="str">
        <f aca="false">IF(A629="","",A629-WEEKDAY(A629,2)+1)</f>
        <v/>
      </c>
      <c r="H629" s="26" t="str">
        <f aca="false">IF(A629="","",DATE(YEAR(A629),MONTH(A629),1))</f>
        <v/>
      </c>
    </row>
    <row r="630" customFormat="false" ht="15" hidden="false" customHeight="false" outlineLevel="0" collapsed="false">
      <c r="A630" s="22"/>
      <c r="B630" s="23"/>
      <c r="C630" s="23"/>
      <c r="D630" s="24"/>
      <c r="E630" s="23"/>
      <c r="F630" s="15" t="str">
        <f aca="false">IF(B630="","",IFERROR(INDEX(Configurações!$B$7:$B$30,MATCH(B630,Configurações!$A$7:$A$30,0)),"?"))</f>
        <v/>
      </c>
      <c r="G630" s="25" t="str">
        <f aca="false">IF(A630="","",A630-WEEKDAY(A630,2)+1)</f>
        <v/>
      </c>
      <c r="H630" s="26" t="str">
        <f aca="false">IF(A630="","",DATE(YEAR(A630),MONTH(A630),1))</f>
        <v/>
      </c>
    </row>
    <row r="631" customFormat="false" ht="15" hidden="false" customHeight="false" outlineLevel="0" collapsed="false">
      <c r="A631" s="22"/>
      <c r="B631" s="23"/>
      <c r="C631" s="23"/>
      <c r="D631" s="24"/>
      <c r="E631" s="23"/>
      <c r="F631" s="15" t="str">
        <f aca="false">IF(B631="","",IFERROR(INDEX(Configurações!$B$7:$B$30,MATCH(B631,Configurações!$A$7:$A$30,0)),"?"))</f>
        <v/>
      </c>
      <c r="G631" s="25" t="str">
        <f aca="false">IF(A631="","",A631-WEEKDAY(A631,2)+1)</f>
        <v/>
      </c>
      <c r="H631" s="26" t="str">
        <f aca="false">IF(A631="","",DATE(YEAR(A631),MONTH(A631),1))</f>
        <v/>
      </c>
    </row>
    <row r="632" customFormat="false" ht="15" hidden="false" customHeight="false" outlineLevel="0" collapsed="false">
      <c r="A632" s="22"/>
      <c r="B632" s="23"/>
      <c r="C632" s="23"/>
      <c r="D632" s="24"/>
      <c r="E632" s="23"/>
      <c r="F632" s="15" t="str">
        <f aca="false">IF(B632="","",IFERROR(INDEX(Configurações!$B$7:$B$30,MATCH(B632,Configurações!$A$7:$A$30,0)),"?"))</f>
        <v/>
      </c>
      <c r="G632" s="25" t="str">
        <f aca="false">IF(A632="","",A632-WEEKDAY(A632,2)+1)</f>
        <v/>
      </c>
      <c r="H632" s="26" t="str">
        <f aca="false">IF(A632="","",DATE(YEAR(A632),MONTH(A632),1))</f>
        <v/>
      </c>
    </row>
    <row r="633" customFormat="false" ht="15" hidden="false" customHeight="false" outlineLevel="0" collapsed="false">
      <c r="A633" s="22"/>
      <c r="B633" s="23"/>
      <c r="C633" s="23"/>
      <c r="D633" s="24"/>
      <c r="E633" s="23"/>
      <c r="F633" s="15" t="str">
        <f aca="false">IF(B633="","",IFERROR(INDEX(Configurações!$B$7:$B$30,MATCH(B633,Configurações!$A$7:$A$30,0)),"?"))</f>
        <v/>
      </c>
      <c r="G633" s="25" t="str">
        <f aca="false">IF(A633="","",A633-WEEKDAY(A633,2)+1)</f>
        <v/>
      </c>
      <c r="H633" s="26" t="str">
        <f aca="false">IF(A633="","",DATE(YEAR(A633),MONTH(A633),1))</f>
        <v/>
      </c>
    </row>
    <row r="634" customFormat="false" ht="15" hidden="false" customHeight="false" outlineLevel="0" collapsed="false">
      <c r="A634" s="22"/>
      <c r="B634" s="23"/>
      <c r="C634" s="23"/>
      <c r="D634" s="24"/>
      <c r="E634" s="23"/>
      <c r="F634" s="15" t="str">
        <f aca="false">IF(B634="","",IFERROR(INDEX(Configurações!$B$7:$B$30,MATCH(B634,Configurações!$A$7:$A$30,0)),"?"))</f>
        <v/>
      </c>
      <c r="G634" s="25" t="str">
        <f aca="false">IF(A634="","",A634-WEEKDAY(A634,2)+1)</f>
        <v/>
      </c>
      <c r="H634" s="26" t="str">
        <f aca="false">IF(A634="","",DATE(YEAR(A634),MONTH(A634),1))</f>
        <v/>
      </c>
    </row>
    <row r="635" customFormat="false" ht="15" hidden="false" customHeight="false" outlineLevel="0" collapsed="false">
      <c r="A635" s="22"/>
      <c r="B635" s="23"/>
      <c r="C635" s="23"/>
      <c r="D635" s="24"/>
      <c r="E635" s="23"/>
      <c r="F635" s="15" t="str">
        <f aca="false">IF(B635="","",IFERROR(INDEX(Configurações!$B$7:$B$30,MATCH(B635,Configurações!$A$7:$A$30,0)),"?"))</f>
        <v/>
      </c>
      <c r="G635" s="25" t="str">
        <f aca="false">IF(A635="","",A635-WEEKDAY(A635,2)+1)</f>
        <v/>
      </c>
      <c r="H635" s="26" t="str">
        <f aca="false">IF(A635="","",DATE(YEAR(A635),MONTH(A635),1))</f>
        <v/>
      </c>
    </row>
    <row r="636" customFormat="false" ht="15" hidden="false" customHeight="false" outlineLevel="0" collapsed="false">
      <c r="A636" s="22"/>
      <c r="B636" s="23"/>
      <c r="C636" s="23"/>
      <c r="D636" s="24"/>
      <c r="E636" s="23"/>
      <c r="F636" s="15" t="str">
        <f aca="false">IF(B636="","",IFERROR(INDEX(Configurações!$B$7:$B$30,MATCH(B636,Configurações!$A$7:$A$30,0)),"?"))</f>
        <v/>
      </c>
      <c r="G636" s="25" t="str">
        <f aca="false">IF(A636="","",A636-WEEKDAY(A636,2)+1)</f>
        <v/>
      </c>
      <c r="H636" s="26" t="str">
        <f aca="false">IF(A636="","",DATE(YEAR(A636),MONTH(A636),1))</f>
        <v/>
      </c>
    </row>
    <row r="637" customFormat="false" ht="15" hidden="false" customHeight="false" outlineLevel="0" collapsed="false">
      <c r="A637" s="22"/>
      <c r="B637" s="23"/>
      <c r="C637" s="23"/>
      <c r="D637" s="24"/>
      <c r="E637" s="23"/>
      <c r="F637" s="15" t="str">
        <f aca="false">IF(B637="","",IFERROR(INDEX(Configurações!$B$7:$B$30,MATCH(B637,Configurações!$A$7:$A$30,0)),"?"))</f>
        <v/>
      </c>
      <c r="G637" s="25" t="str">
        <f aca="false">IF(A637="","",A637-WEEKDAY(A637,2)+1)</f>
        <v/>
      </c>
      <c r="H637" s="26" t="str">
        <f aca="false">IF(A637="","",DATE(YEAR(A637),MONTH(A637),1))</f>
        <v/>
      </c>
    </row>
    <row r="638" customFormat="false" ht="15" hidden="false" customHeight="false" outlineLevel="0" collapsed="false">
      <c r="A638" s="22"/>
      <c r="B638" s="23"/>
      <c r="C638" s="23"/>
      <c r="D638" s="24"/>
      <c r="E638" s="23"/>
      <c r="F638" s="15" t="str">
        <f aca="false">IF(B638="","",IFERROR(INDEX(Configurações!$B$7:$B$30,MATCH(B638,Configurações!$A$7:$A$30,0)),"?"))</f>
        <v/>
      </c>
      <c r="G638" s="25" t="str">
        <f aca="false">IF(A638="","",A638-WEEKDAY(A638,2)+1)</f>
        <v/>
      </c>
      <c r="H638" s="26" t="str">
        <f aca="false">IF(A638="","",DATE(YEAR(A638),MONTH(A638),1))</f>
        <v/>
      </c>
    </row>
    <row r="639" customFormat="false" ht="15" hidden="false" customHeight="false" outlineLevel="0" collapsed="false">
      <c r="A639" s="22"/>
      <c r="B639" s="23"/>
      <c r="C639" s="23"/>
      <c r="D639" s="24"/>
      <c r="E639" s="23"/>
      <c r="F639" s="15" t="str">
        <f aca="false">IF(B639="","",IFERROR(INDEX(Configurações!$B$7:$B$30,MATCH(B639,Configurações!$A$7:$A$30,0)),"?"))</f>
        <v/>
      </c>
      <c r="G639" s="25" t="str">
        <f aca="false">IF(A639="","",A639-WEEKDAY(A639,2)+1)</f>
        <v/>
      </c>
      <c r="H639" s="26" t="str">
        <f aca="false">IF(A639="","",DATE(YEAR(A639),MONTH(A639),1))</f>
        <v/>
      </c>
    </row>
    <row r="640" customFormat="false" ht="15" hidden="false" customHeight="false" outlineLevel="0" collapsed="false">
      <c r="A640" s="22"/>
      <c r="B640" s="23"/>
      <c r="C640" s="23"/>
      <c r="D640" s="24"/>
      <c r="E640" s="23"/>
      <c r="F640" s="15" t="str">
        <f aca="false">IF(B640="","",IFERROR(INDEX(Configurações!$B$7:$B$30,MATCH(B640,Configurações!$A$7:$A$30,0)),"?"))</f>
        <v/>
      </c>
      <c r="G640" s="25" t="str">
        <f aca="false">IF(A640="","",A640-WEEKDAY(A640,2)+1)</f>
        <v/>
      </c>
      <c r="H640" s="26" t="str">
        <f aca="false">IF(A640="","",DATE(YEAR(A640),MONTH(A640),1))</f>
        <v/>
      </c>
    </row>
    <row r="641" customFormat="false" ht="15" hidden="false" customHeight="false" outlineLevel="0" collapsed="false">
      <c r="A641" s="22"/>
      <c r="B641" s="23"/>
      <c r="C641" s="23"/>
      <c r="D641" s="24"/>
      <c r="E641" s="23"/>
      <c r="F641" s="15" t="str">
        <f aca="false">IF(B641="","",IFERROR(INDEX(Configurações!$B$7:$B$30,MATCH(B641,Configurações!$A$7:$A$30,0)),"?"))</f>
        <v/>
      </c>
      <c r="G641" s="25" t="str">
        <f aca="false">IF(A641="","",A641-WEEKDAY(A641,2)+1)</f>
        <v/>
      </c>
      <c r="H641" s="26" t="str">
        <f aca="false">IF(A641="","",DATE(YEAR(A641),MONTH(A641),1))</f>
        <v/>
      </c>
    </row>
    <row r="642" customFormat="false" ht="15" hidden="false" customHeight="false" outlineLevel="0" collapsed="false">
      <c r="A642" s="22"/>
      <c r="B642" s="23"/>
      <c r="C642" s="23"/>
      <c r="D642" s="24"/>
      <c r="E642" s="23"/>
      <c r="F642" s="15" t="str">
        <f aca="false">IF(B642="","",IFERROR(INDEX(Configurações!$B$7:$B$30,MATCH(B642,Configurações!$A$7:$A$30,0)),"?"))</f>
        <v/>
      </c>
      <c r="G642" s="25" t="str">
        <f aca="false">IF(A642="","",A642-WEEKDAY(A642,2)+1)</f>
        <v/>
      </c>
      <c r="H642" s="26" t="str">
        <f aca="false">IF(A642="","",DATE(YEAR(A642),MONTH(A642),1))</f>
        <v/>
      </c>
    </row>
    <row r="643" customFormat="false" ht="15" hidden="false" customHeight="false" outlineLevel="0" collapsed="false">
      <c r="A643" s="22"/>
      <c r="B643" s="23"/>
      <c r="C643" s="23"/>
      <c r="D643" s="24"/>
      <c r="E643" s="23"/>
      <c r="F643" s="15" t="str">
        <f aca="false">IF(B643="","",IFERROR(INDEX(Configurações!$B$7:$B$30,MATCH(B643,Configurações!$A$7:$A$30,0)),"?"))</f>
        <v/>
      </c>
      <c r="G643" s="25" t="str">
        <f aca="false">IF(A643="","",A643-WEEKDAY(A643,2)+1)</f>
        <v/>
      </c>
      <c r="H643" s="26" t="str">
        <f aca="false">IF(A643="","",DATE(YEAR(A643),MONTH(A643),1))</f>
        <v/>
      </c>
    </row>
    <row r="644" customFormat="false" ht="15" hidden="false" customHeight="false" outlineLevel="0" collapsed="false">
      <c r="A644" s="22"/>
      <c r="B644" s="23"/>
      <c r="C644" s="23"/>
      <c r="D644" s="24"/>
      <c r="E644" s="23"/>
      <c r="F644" s="15" t="str">
        <f aca="false">IF(B644="","",IFERROR(INDEX(Configurações!$B$7:$B$30,MATCH(B644,Configurações!$A$7:$A$30,0)),"?"))</f>
        <v/>
      </c>
      <c r="G644" s="25" t="str">
        <f aca="false">IF(A644="","",A644-WEEKDAY(A644,2)+1)</f>
        <v/>
      </c>
      <c r="H644" s="26" t="str">
        <f aca="false">IF(A644="","",DATE(YEAR(A644),MONTH(A644),1))</f>
        <v/>
      </c>
    </row>
    <row r="645" customFormat="false" ht="15" hidden="false" customHeight="false" outlineLevel="0" collapsed="false">
      <c r="A645" s="22"/>
      <c r="B645" s="23"/>
      <c r="C645" s="23"/>
      <c r="D645" s="24"/>
      <c r="E645" s="23"/>
      <c r="F645" s="15" t="str">
        <f aca="false">IF(B645="","",IFERROR(INDEX(Configurações!$B$7:$B$30,MATCH(B645,Configurações!$A$7:$A$30,0)),"?"))</f>
        <v/>
      </c>
      <c r="G645" s="25" t="str">
        <f aca="false">IF(A645="","",A645-WEEKDAY(A645,2)+1)</f>
        <v/>
      </c>
      <c r="H645" s="26" t="str">
        <f aca="false">IF(A645="","",DATE(YEAR(A645),MONTH(A645),1))</f>
        <v/>
      </c>
    </row>
    <row r="646" customFormat="false" ht="15" hidden="false" customHeight="false" outlineLevel="0" collapsed="false">
      <c r="A646" s="22"/>
      <c r="B646" s="23"/>
      <c r="C646" s="23"/>
      <c r="D646" s="24"/>
      <c r="E646" s="23"/>
      <c r="F646" s="15" t="str">
        <f aca="false">IF(B646="","",IFERROR(INDEX(Configurações!$B$7:$B$30,MATCH(B646,Configurações!$A$7:$A$30,0)),"?"))</f>
        <v/>
      </c>
      <c r="G646" s="25" t="str">
        <f aca="false">IF(A646="","",A646-WEEKDAY(A646,2)+1)</f>
        <v/>
      </c>
      <c r="H646" s="26" t="str">
        <f aca="false">IF(A646="","",DATE(YEAR(A646),MONTH(A646),1))</f>
        <v/>
      </c>
    </row>
    <row r="647" customFormat="false" ht="15" hidden="false" customHeight="false" outlineLevel="0" collapsed="false">
      <c r="A647" s="22"/>
      <c r="B647" s="23"/>
      <c r="C647" s="23"/>
      <c r="D647" s="24"/>
      <c r="E647" s="23"/>
      <c r="F647" s="15" t="str">
        <f aca="false">IF(B647="","",IFERROR(INDEX(Configurações!$B$7:$B$30,MATCH(B647,Configurações!$A$7:$A$30,0)),"?"))</f>
        <v/>
      </c>
      <c r="G647" s="25" t="str">
        <f aca="false">IF(A647="","",A647-WEEKDAY(A647,2)+1)</f>
        <v/>
      </c>
      <c r="H647" s="26" t="str">
        <f aca="false">IF(A647="","",DATE(YEAR(A647),MONTH(A647),1))</f>
        <v/>
      </c>
    </row>
    <row r="648" customFormat="false" ht="15" hidden="false" customHeight="false" outlineLevel="0" collapsed="false">
      <c r="A648" s="22"/>
      <c r="B648" s="23"/>
      <c r="C648" s="23"/>
      <c r="D648" s="24"/>
      <c r="E648" s="23"/>
      <c r="F648" s="15" t="str">
        <f aca="false">IF(B648="","",IFERROR(INDEX(Configurações!$B$7:$B$30,MATCH(B648,Configurações!$A$7:$A$30,0)),"?"))</f>
        <v/>
      </c>
      <c r="G648" s="25" t="str">
        <f aca="false">IF(A648="","",A648-WEEKDAY(A648,2)+1)</f>
        <v/>
      </c>
      <c r="H648" s="26" t="str">
        <f aca="false">IF(A648="","",DATE(YEAR(A648),MONTH(A648),1))</f>
        <v/>
      </c>
    </row>
    <row r="649" customFormat="false" ht="15" hidden="false" customHeight="false" outlineLevel="0" collapsed="false">
      <c r="A649" s="22"/>
      <c r="B649" s="23"/>
      <c r="C649" s="23"/>
      <c r="D649" s="24"/>
      <c r="E649" s="23"/>
      <c r="F649" s="15" t="str">
        <f aca="false">IF(B649="","",IFERROR(INDEX(Configurações!$B$7:$B$30,MATCH(B649,Configurações!$A$7:$A$30,0)),"?"))</f>
        <v/>
      </c>
      <c r="G649" s="25" t="str">
        <f aca="false">IF(A649="","",A649-WEEKDAY(A649,2)+1)</f>
        <v/>
      </c>
      <c r="H649" s="26" t="str">
        <f aca="false">IF(A649="","",DATE(YEAR(A649),MONTH(A649),1))</f>
        <v/>
      </c>
    </row>
    <row r="650" customFormat="false" ht="15" hidden="false" customHeight="false" outlineLevel="0" collapsed="false">
      <c r="A650" s="22"/>
      <c r="B650" s="23"/>
      <c r="C650" s="23"/>
      <c r="D650" s="24"/>
      <c r="E650" s="23"/>
      <c r="F650" s="15" t="str">
        <f aca="false">IF(B650="","",IFERROR(INDEX(Configurações!$B$7:$B$30,MATCH(B650,Configurações!$A$7:$A$30,0)),"?"))</f>
        <v/>
      </c>
      <c r="G650" s="25" t="str">
        <f aca="false">IF(A650="","",A650-WEEKDAY(A650,2)+1)</f>
        <v/>
      </c>
      <c r="H650" s="26" t="str">
        <f aca="false">IF(A650="","",DATE(YEAR(A650),MONTH(A650),1))</f>
        <v/>
      </c>
    </row>
    <row r="651" customFormat="false" ht="15" hidden="false" customHeight="false" outlineLevel="0" collapsed="false">
      <c r="A651" s="22"/>
      <c r="B651" s="23"/>
      <c r="C651" s="23"/>
      <c r="D651" s="24"/>
      <c r="E651" s="23"/>
      <c r="F651" s="15" t="str">
        <f aca="false">IF(B651="","",IFERROR(INDEX(Configurações!$B$7:$B$30,MATCH(B651,Configurações!$A$7:$A$30,0)),"?"))</f>
        <v/>
      </c>
      <c r="G651" s="25" t="str">
        <f aca="false">IF(A651="","",A651-WEEKDAY(A651,2)+1)</f>
        <v/>
      </c>
      <c r="H651" s="26" t="str">
        <f aca="false">IF(A651="","",DATE(YEAR(A651),MONTH(A651),1))</f>
        <v/>
      </c>
    </row>
    <row r="652" customFormat="false" ht="15" hidden="false" customHeight="false" outlineLevel="0" collapsed="false">
      <c r="A652" s="22"/>
      <c r="B652" s="23"/>
      <c r="C652" s="23"/>
      <c r="D652" s="24"/>
      <c r="E652" s="23"/>
      <c r="F652" s="15" t="str">
        <f aca="false">IF(B652="","",IFERROR(INDEX(Configurações!$B$7:$B$30,MATCH(B652,Configurações!$A$7:$A$30,0)),"?"))</f>
        <v/>
      </c>
      <c r="G652" s="25" t="str">
        <f aca="false">IF(A652="","",A652-WEEKDAY(A652,2)+1)</f>
        <v/>
      </c>
      <c r="H652" s="26" t="str">
        <f aca="false">IF(A652="","",DATE(YEAR(A652),MONTH(A652),1))</f>
        <v/>
      </c>
    </row>
    <row r="653" customFormat="false" ht="15" hidden="false" customHeight="false" outlineLevel="0" collapsed="false">
      <c r="A653" s="22"/>
      <c r="B653" s="23"/>
      <c r="C653" s="23"/>
      <c r="D653" s="24"/>
      <c r="E653" s="23"/>
      <c r="F653" s="15" t="str">
        <f aca="false">IF(B653="","",IFERROR(INDEX(Configurações!$B$7:$B$30,MATCH(B653,Configurações!$A$7:$A$30,0)),"?"))</f>
        <v/>
      </c>
      <c r="G653" s="25" t="str">
        <f aca="false">IF(A653="","",A653-WEEKDAY(A653,2)+1)</f>
        <v/>
      </c>
      <c r="H653" s="26" t="str">
        <f aca="false">IF(A653="","",DATE(YEAR(A653),MONTH(A653),1))</f>
        <v/>
      </c>
    </row>
    <row r="654" customFormat="false" ht="15" hidden="false" customHeight="false" outlineLevel="0" collapsed="false">
      <c r="A654" s="22"/>
      <c r="B654" s="23"/>
      <c r="C654" s="23"/>
      <c r="D654" s="24"/>
      <c r="E654" s="23"/>
      <c r="F654" s="15" t="str">
        <f aca="false">IF(B654="","",IFERROR(INDEX(Configurações!$B$7:$B$30,MATCH(B654,Configurações!$A$7:$A$30,0)),"?"))</f>
        <v/>
      </c>
      <c r="G654" s="25" t="str">
        <f aca="false">IF(A654="","",A654-WEEKDAY(A654,2)+1)</f>
        <v/>
      </c>
      <c r="H654" s="26" t="str">
        <f aca="false">IF(A654="","",DATE(YEAR(A654),MONTH(A654),1))</f>
        <v/>
      </c>
    </row>
    <row r="655" customFormat="false" ht="15" hidden="false" customHeight="false" outlineLevel="0" collapsed="false">
      <c r="A655" s="22"/>
      <c r="B655" s="23"/>
      <c r="C655" s="23"/>
      <c r="D655" s="24"/>
      <c r="E655" s="23"/>
      <c r="F655" s="15" t="str">
        <f aca="false">IF(B655="","",IFERROR(INDEX(Configurações!$B$7:$B$30,MATCH(B655,Configurações!$A$7:$A$30,0)),"?"))</f>
        <v/>
      </c>
      <c r="G655" s="25" t="str">
        <f aca="false">IF(A655="","",A655-WEEKDAY(A655,2)+1)</f>
        <v/>
      </c>
      <c r="H655" s="26" t="str">
        <f aca="false">IF(A655="","",DATE(YEAR(A655),MONTH(A655),1))</f>
        <v/>
      </c>
    </row>
    <row r="656" customFormat="false" ht="15" hidden="false" customHeight="false" outlineLevel="0" collapsed="false">
      <c r="A656" s="22"/>
      <c r="B656" s="23"/>
      <c r="C656" s="23"/>
      <c r="D656" s="24"/>
      <c r="E656" s="23"/>
      <c r="F656" s="15" t="str">
        <f aca="false">IF(B656="","",IFERROR(INDEX(Configurações!$B$7:$B$30,MATCH(B656,Configurações!$A$7:$A$30,0)),"?"))</f>
        <v/>
      </c>
      <c r="G656" s="25" t="str">
        <f aca="false">IF(A656="","",A656-WEEKDAY(A656,2)+1)</f>
        <v/>
      </c>
      <c r="H656" s="26" t="str">
        <f aca="false">IF(A656="","",DATE(YEAR(A656),MONTH(A656),1))</f>
        <v/>
      </c>
    </row>
    <row r="657" customFormat="false" ht="15" hidden="false" customHeight="false" outlineLevel="0" collapsed="false">
      <c r="A657" s="22"/>
      <c r="B657" s="23"/>
      <c r="C657" s="23"/>
      <c r="D657" s="24"/>
      <c r="E657" s="23"/>
      <c r="F657" s="15" t="str">
        <f aca="false">IF(B657="","",IFERROR(INDEX(Configurações!$B$7:$B$30,MATCH(B657,Configurações!$A$7:$A$30,0)),"?"))</f>
        <v/>
      </c>
      <c r="G657" s="25" t="str">
        <f aca="false">IF(A657="","",A657-WEEKDAY(A657,2)+1)</f>
        <v/>
      </c>
      <c r="H657" s="26" t="str">
        <f aca="false">IF(A657="","",DATE(YEAR(A657),MONTH(A657),1))</f>
        <v/>
      </c>
    </row>
    <row r="658" customFormat="false" ht="15" hidden="false" customHeight="false" outlineLevel="0" collapsed="false">
      <c r="A658" s="22"/>
      <c r="B658" s="23"/>
      <c r="C658" s="23"/>
      <c r="D658" s="24"/>
      <c r="E658" s="23"/>
      <c r="F658" s="15" t="str">
        <f aca="false">IF(B658="","",IFERROR(INDEX(Configurações!$B$7:$B$30,MATCH(B658,Configurações!$A$7:$A$30,0)),"?"))</f>
        <v/>
      </c>
      <c r="G658" s="25" t="str">
        <f aca="false">IF(A658="","",A658-WEEKDAY(A658,2)+1)</f>
        <v/>
      </c>
      <c r="H658" s="26" t="str">
        <f aca="false">IF(A658="","",DATE(YEAR(A658),MONTH(A658),1))</f>
        <v/>
      </c>
    </row>
    <row r="659" customFormat="false" ht="15" hidden="false" customHeight="false" outlineLevel="0" collapsed="false">
      <c r="A659" s="22"/>
      <c r="B659" s="23"/>
      <c r="C659" s="23"/>
      <c r="D659" s="24"/>
      <c r="E659" s="23"/>
      <c r="F659" s="15" t="str">
        <f aca="false">IF(B659="","",IFERROR(INDEX(Configurações!$B$7:$B$30,MATCH(B659,Configurações!$A$7:$A$30,0)),"?"))</f>
        <v/>
      </c>
      <c r="G659" s="25" t="str">
        <f aca="false">IF(A659="","",A659-WEEKDAY(A659,2)+1)</f>
        <v/>
      </c>
      <c r="H659" s="26" t="str">
        <f aca="false">IF(A659="","",DATE(YEAR(A659),MONTH(A659),1))</f>
        <v/>
      </c>
    </row>
    <row r="660" customFormat="false" ht="15" hidden="false" customHeight="false" outlineLevel="0" collapsed="false">
      <c r="A660" s="22"/>
      <c r="B660" s="23"/>
      <c r="C660" s="23"/>
      <c r="D660" s="24"/>
      <c r="E660" s="23"/>
      <c r="F660" s="15" t="str">
        <f aca="false">IF(B660="","",IFERROR(INDEX(Configurações!$B$7:$B$30,MATCH(B660,Configurações!$A$7:$A$30,0)),"?"))</f>
        <v/>
      </c>
      <c r="G660" s="25" t="str">
        <f aca="false">IF(A660="","",A660-WEEKDAY(A660,2)+1)</f>
        <v/>
      </c>
      <c r="H660" s="26" t="str">
        <f aca="false">IF(A660="","",DATE(YEAR(A660),MONTH(A660),1))</f>
        <v/>
      </c>
    </row>
    <row r="661" customFormat="false" ht="15" hidden="false" customHeight="false" outlineLevel="0" collapsed="false">
      <c r="A661" s="22"/>
      <c r="B661" s="23"/>
      <c r="C661" s="23"/>
      <c r="D661" s="24"/>
      <c r="E661" s="23"/>
      <c r="F661" s="15" t="str">
        <f aca="false">IF(B661="","",IFERROR(INDEX(Configurações!$B$7:$B$30,MATCH(B661,Configurações!$A$7:$A$30,0)),"?"))</f>
        <v/>
      </c>
      <c r="G661" s="25" t="str">
        <f aca="false">IF(A661="","",A661-WEEKDAY(A661,2)+1)</f>
        <v/>
      </c>
      <c r="H661" s="26" t="str">
        <f aca="false">IF(A661="","",DATE(YEAR(A661),MONTH(A661),1))</f>
        <v/>
      </c>
    </row>
    <row r="662" customFormat="false" ht="15" hidden="false" customHeight="false" outlineLevel="0" collapsed="false">
      <c r="A662" s="22"/>
      <c r="B662" s="23"/>
      <c r="C662" s="23"/>
      <c r="D662" s="24"/>
      <c r="E662" s="23"/>
      <c r="F662" s="15" t="str">
        <f aca="false">IF(B662="","",IFERROR(INDEX(Configurações!$B$7:$B$30,MATCH(B662,Configurações!$A$7:$A$30,0)),"?"))</f>
        <v/>
      </c>
      <c r="G662" s="25" t="str">
        <f aca="false">IF(A662="","",A662-WEEKDAY(A662,2)+1)</f>
        <v/>
      </c>
      <c r="H662" s="26" t="str">
        <f aca="false">IF(A662="","",DATE(YEAR(A662),MONTH(A662),1))</f>
        <v/>
      </c>
    </row>
    <row r="663" customFormat="false" ht="15" hidden="false" customHeight="false" outlineLevel="0" collapsed="false">
      <c r="A663" s="22"/>
      <c r="B663" s="23"/>
      <c r="C663" s="23"/>
      <c r="D663" s="24"/>
      <c r="E663" s="23"/>
      <c r="F663" s="15" t="str">
        <f aca="false">IF(B663="","",IFERROR(INDEX(Configurações!$B$7:$B$30,MATCH(B663,Configurações!$A$7:$A$30,0)),"?"))</f>
        <v/>
      </c>
      <c r="G663" s="25" t="str">
        <f aca="false">IF(A663="","",A663-WEEKDAY(A663,2)+1)</f>
        <v/>
      </c>
      <c r="H663" s="26" t="str">
        <f aca="false">IF(A663="","",DATE(YEAR(A663),MONTH(A663),1))</f>
        <v/>
      </c>
    </row>
    <row r="664" customFormat="false" ht="15" hidden="false" customHeight="false" outlineLevel="0" collapsed="false">
      <c r="A664" s="22"/>
      <c r="B664" s="23"/>
      <c r="C664" s="23"/>
      <c r="D664" s="24"/>
      <c r="E664" s="23"/>
      <c r="F664" s="15" t="str">
        <f aca="false">IF(B664="","",IFERROR(INDEX(Configurações!$B$7:$B$30,MATCH(B664,Configurações!$A$7:$A$30,0)),"?"))</f>
        <v/>
      </c>
      <c r="G664" s="25" t="str">
        <f aca="false">IF(A664="","",A664-WEEKDAY(A664,2)+1)</f>
        <v/>
      </c>
      <c r="H664" s="26" t="str">
        <f aca="false">IF(A664="","",DATE(YEAR(A664),MONTH(A664),1))</f>
        <v/>
      </c>
    </row>
    <row r="665" customFormat="false" ht="15" hidden="false" customHeight="false" outlineLevel="0" collapsed="false">
      <c r="A665" s="22"/>
      <c r="B665" s="23"/>
      <c r="C665" s="23"/>
      <c r="D665" s="24"/>
      <c r="E665" s="23"/>
      <c r="F665" s="15" t="str">
        <f aca="false">IF(B665="","",IFERROR(INDEX(Configurações!$B$7:$B$30,MATCH(B665,Configurações!$A$7:$A$30,0)),"?"))</f>
        <v/>
      </c>
      <c r="G665" s="25" t="str">
        <f aca="false">IF(A665="","",A665-WEEKDAY(A665,2)+1)</f>
        <v/>
      </c>
      <c r="H665" s="26" t="str">
        <f aca="false">IF(A665="","",DATE(YEAR(A665),MONTH(A665),1))</f>
        <v/>
      </c>
    </row>
    <row r="666" customFormat="false" ht="15" hidden="false" customHeight="false" outlineLevel="0" collapsed="false">
      <c r="A666" s="22"/>
      <c r="B666" s="23"/>
      <c r="C666" s="23"/>
      <c r="D666" s="24"/>
      <c r="E666" s="23"/>
      <c r="F666" s="15" t="str">
        <f aca="false">IF(B666="","",IFERROR(INDEX(Configurações!$B$7:$B$30,MATCH(B666,Configurações!$A$7:$A$30,0)),"?"))</f>
        <v/>
      </c>
      <c r="G666" s="25" t="str">
        <f aca="false">IF(A666="","",A666-WEEKDAY(A666,2)+1)</f>
        <v/>
      </c>
      <c r="H666" s="26" t="str">
        <f aca="false">IF(A666="","",DATE(YEAR(A666),MONTH(A666),1))</f>
        <v/>
      </c>
    </row>
    <row r="667" customFormat="false" ht="15" hidden="false" customHeight="false" outlineLevel="0" collapsed="false">
      <c r="A667" s="22"/>
      <c r="B667" s="23"/>
      <c r="C667" s="23"/>
      <c r="D667" s="24"/>
      <c r="E667" s="23"/>
      <c r="F667" s="15" t="str">
        <f aca="false">IF(B667="","",IFERROR(INDEX(Configurações!$B$7:$B$30,MATCH(B667,Configurações!$A$7:$A$30,0)),"?"))</f>
        <v/>
      </c>
      <c r="G667" s="25" t="str">
        <f aca="false">IF(A667="","",A667-WEEKDAY(A667,2)+1)</f>
        <v/>
      </c>
      <c r="H667" s="26" t="str">
        <f aca="false">IF(A667="","",DATE(YEAR(A667),MONTH(A667),1))</f>
        <v/>
      </c>
    </row>
    <row r="668" customFormat="false" ht="15" hidden="false" customHeight="false" outlineLevel="0" collapsed="false">
      <c r="A668" s="22"/>
      <c r="B668" s="23"/>
      <c r="C668" s="23"/>
      <c r="D668" s="24"/>
      <c r="E668" s="23"/>
      <c r="F668" s="15" t="str">
        <f aca="false">IF(B668="","",IFERROR(INDEX(Configurações!$B$7:$B$30,MATCH(B668,Configurações!$A$7:$A$30,0)),"?"))</f>
        <v/>
      </c>
      <c r="G668" s="25" t="str">
        <f aca="false">IF(A668="","",A668-WEEKDAY(A668,2)+1)</f>
        <v/>
      </c>
      <c r="H668" s="26" t="str">
        <f aca="false">IF(A668="","",DATE(YEAR(A668),MONTH(A668),1))</f>
        <v/>
      </c>
    </row>
    <row r="669" customFormat="false" ht="15" hidden="false" customHeight="false" outlineLevel="0" collapsed="false">
      <c r="A669" s="22"/>
      <c r="B669" s="23"/>
      <c r="C669" s="23"/>
      <c r="D669" s="24"/>
      <c r="E669" s="23"/>
      <c r="F669" s="15" t="str">
        <f aca="false">IF(B669="","",IFERROR(INDEX(Configurações!$B$7:$B$30,MATCH(B669,Configurações!$A$7:$A$30,0)),"?"))</f>
        <v/>
      </c>
      <c r="G669" s="25" t="str">
        <f aca="false">IF(A669="","",A669-WEEKDAY(A669,2)+1)</f>
        <v/>
      </c>
      <c r="H669" s="26" t="str">
        <f aca="false">IF(A669="","",DATE(YEAR(A669),MONTH(A669),1))</f>
        <v/>
      </c>
    </row>
    <row r="670" customFormat="false" ht="15" hidden="false" customHeight="false" outlineLevel="0" collapsed="false">
      <c r="A670" s="22"/>
      <c r="B670" s="23"/>
      <c r="C670" s="23"/>
      <c r="D670" s="24"/>
      <c r="E670" s="23"/>
      <c r="F670" s="15" t="str">
        <f aca="false">IF(B670="","",IFERROR(INDEX(Configurações!$B$7:$B$30,MATCH(B670,Configurações!$A$7:$A$30,0)),"?"))</f>
        <v/>
      </c>
      <c r="G670" s="25" t="str">
        <f aca="false">IF(A670="","",A670-WEEKDAY(A670,2)+1)</f>
        <v/>
      </c>
      <c r="H670" s="26" t="str">
        <f aca="false">IF(A670="","",DATE(YEAR(A670),MONTH(A670),1))</f>
        <v/>
      </c>
    </row>
    <row r="671" customFormat="false" ht="15" hidden="false" customHeight="false" outlineLevel="0" collapsed="false">
      <c r="A671" s="22"/>
      <c r="B671" s="23"/>
      <c r="C671" s="23"/>
      <c r="D671" s="24"/>
      <c r="E671" s="23"/>
      <c r="F671" s="15" t="str">
        <f aca="false">IF(B671="","",IFERROR(INDEX(Configurações!$B$7:$B$30,MATCH(B671,Configurações!$A$7:$A$30,0)),"?"))</f>
        <v/>
      </c>
      <c r="G671" s="25" t="str">
        <f aca="false">IF(A671="","",A671-WEEKDAY(A671,2)+1)</f>
        <v/>
      </c>
      <c r="H671" s="26" t="str">
        <f aca="false">IF(A671="","",DATE(YEAR(A671),MONTH(A671),1))</f>
        <v/>
      </c>
    </row>
    <row r="672" customFormat="false" ht="15" hidden="false" customHeight="false" outlineLevel="0" collapsed="false">
      <c r="A672" s="22"/>
      <c r="B672" s="23"/>
      <c r="C672" s="23"/>
      <c r="D672" s="24"/>
      <c r="E672" s="23"/>
      <c r="F672" s="15" t="str">
        <f aca="false">IF(B672="","",IFERROR(INDEX(Configurações!$B$7:$B$30,MATCH(B672,Configurações!$A$7:$A$30,0)),"?"))</f>
        <v/>
      </c>
      <c r="G672" s="25" t="str">
        <f aca="false">IF(A672="","",A672-WEEKDAY(A672,2)+1)</f>
        <v/>
      </c>
      <c r="H672" s="26" t="str">
        <f aca="false">IF(A672="","",DATE(YEAR(A672),MONTH(A672),1))</f>
        <v/>
      </c>
    </row>
    <row r="673" customFormat="false" ht="15" hidden="false" customHeight="false" outlineLevel="0" collapsed="false">
      <c r="A673" s="22"/>
      <c r="B673" s="23"/>
      <c r="C673" s="23"/>
      <c r="D673" s="24"/>
      <c r="E673" s="23"/>
      <c r="F673" s="15" t="str">
        <f aca="false">IF(B673="","",IFERROR(INDEX(Configurações!$B$7:$B$30,MATCH(B673,Configurações!$A$7:$A$30,0)),"?"))</f>
        <v/>
      </c>
      <c r="G673" s="25" t="str">
        <f aca="false">IF(A673="","",A673-WEEKDAY(A673,2)+1)</f>
        <v/>
      </c>
      <c r="H673" s="26" t="str">
        <f aca="false">IF(A673="","",DATE(YEAR(A673),MONTH(A673),1))</f>
        <v/>
      </c>
    </row>
    <row r="674" customFormat="false" ht="15" hidden="false" customHeight="false" outlineLevel="0" collapsed="false">
      <c r="A674" s="22"/>
      <c r="B674" s="23"/>
      <c r="C674" s="23"/>
      <c r="D674" s="24"/>
      <c r="E674" s="23"/>
      <c r="F674" s="15" t="str">
        <f aca="false">IF(B674="","",IFERROR(INDEX(Configurações!$B$7:$B$30,MATCH(B674,Configurações!$A$7:$A$30,0)),"?"))</f>
        <v/>
      </c>
      <c r="G674" s="25" t="str">
        <f aca="false">IF(A674="","",A674-WEEKDAY(A674,2)+1)</f>
        <v/>
      </c>
      <c r="H674" s="26" t="str">
        <f aca="false">IF(A674="","",DATE(YEAR(A674),MONTH(A674),1))</f>
        <v/>
      </c>
    </row>
    <row r="675" customFormat="false" ht="15" hidden="false" customHeight="false" outlineLevel="0" collapsed="false">
      <c r="A675" s="22"/>
      <c r="B675" s="23"/>
      <c r="C675" s="23"/>
      <c r="D675" s="24"/>
      <c r="E675" s="23"/>
      <c r="F675" s="15" t="str">
        <f aca="false">IF(B675="","",IFERROR(INDEX(Configurações!$B$7:$B$30,MATCH(B675,Configurações!$A$7:$A$30,0)),"?"))</f>
        <v/>
      </c>
      <c r="G675" s="25" t="str">
        <f aca="false">IF(A675="","",A675-WEEKDAY(A675,2)+1)</f>
        <v/>
      </c>
      <c r="H675" s="26" t="str">
        <f aca="false">IF(A675="","",DATE(YEAR(A675),MONTH(A675),1))</f>
        <v/>
      </c>
    </row>
    <row r="676" customFormat="false" ht="15" hidden="false" customHeight="false" outlineLevel="0" collapsed="false">
      <c r="A676" s="22"/>
      <c r="B676" s="23"/>
      <c r="C676" s="23"/>
      <c r="D676" s="24"/>
      <c r="E676" s="23"/>
      <c r="F676" s="15" t="str">
        <f aca="false">IF(B676="","",IFERROR(INDEX(Configurações!$B$7:$B$30,MATCH(B676,Configurações!$A$7:$A$30,0)),"?"))</f>
        <v/>
      </c>
      <c r="G676" s="25" t="str">
        <f aca="false">IF(A676="","",A676-WEEKDAY(A676,2)+1)</f>
        <v/>
      </c>
      <c r="H676" s="26" t="str">
        <f aca="false">IF(A676="","",DATE(YEAR(A676),MONTH(A676),1))</f>
        <v/>
      </c>
    </row>
    <row r="677" customFormat="false" ht="15" hidden="false" customHeight="false" outlineLevel="0" collapsed="false">
      <c r="A677" s="22"/>
      <c r="B677" s="23"/>
      <c r="C677" s="23"/>
      <c r="D677" s="24"/>
      <c r="E677" s="23"/>
      <c r="F677" s="15" t="str">
        <f aca="false">IF(B677="","",IFERROR(INDEX(Configurações!$B$7:$B$30,MATCH(B677,Configurações!$A$7:$A$30,0)),"?"))</f>
        <v/>
      </c>
      <c r="G677" s="25" t="str">
        <f aca="false">IF(A677="","",A677-WEEKDAY(A677,2)+1)</f>
        <v/>
      </c>
      <c r="H677" s="26" t="str">
        <f aca="false">IF(A677="","",DATE(YEAR(A677),MONTH(A677),1))</f>
        <v/>
      </c>
    </row>
    <row r="678" customFormat="false" ht="15" hidden="false" customHeight="false" outlineLevel="0" collapsed="false">
      <c r="A678" s="22"/>
      <c r="B678" s="23"/>
      <c r="C678" s="23"/>
      <c r="D678" s="24"/>
      <c r="E678" s="23"/>
      <c r="F678" s="15" t="str">
        <f aca="false">IF(B678="","",IFERROR(INDEX(Configurações!$B$7:$B$30,MATCH(B678,Configurações!$A$7:$A$30,0)),"?"))</f>
        <v/>
      </c>
      <c r="G678" s="25" t="str">
        <f aca="false">IF(A678="","",A678-WEEKDAY(A678,2)+1)</f>
        <v/>
      </c>
      <c r="H678" s="26" t="str">
        <f aca="false">IF(A678="","",DATE(YEAR(A678),MONTH(A678),1))</f>
        <v/>
      </c>
    </row>
    <row r="679" customFormat="false" ht="15" hidden="false" customHeight="false" outlineLevel="0" collapsed="false">
      <c r="A679" s="22"/>
      <c r="B679" s="23"/>
      <c r="C679" s="23"/>
      <c r="D679" s="24"/>
      <c r="E679" s="23"/>
      <c r="F679" s="15" t="str">
        <f aca="false">IF(B679="","",IFERROR(INDEX(Configurações!$B$7:$B$30,MATCH(B679,Configurações!$A$7:$A$30,0)),"?"))</f>
        <v/>
      </c>
      <c r="G679" s="25" t="str">
        <f aca="false">IF(A679="","",A679-WEEKDAY(A679,2)+1)</f>
        <v/>
      </c>
      <c r="H679" s="26" t="str">
        <f aca="false">IF(A679="","",DATE(YEAR(A679),MONTH(A679),1))</f>
        <v/>
      </c>
    </row>
    <row r="680" customFormat="false" ht="15" hidden="false" customHeight="false" outlineLevel="0" collapsed="false">
      <c r="A680" s="22"/>
      <c r="B680" s="23"/>
      <c r="C680" s="23"/>
      <c r="D680" s="24"/>
      <c r="E680" s="23"/>
      <c r="F680" s="15" t="str">
        <f aca="false">IF(B680="","",IFERROR(INDEX(Configurações!$B$7:$B$30,MATCH(B680,Configurações!$A$7:$A$30,0)),"?"))</f>
        <v/>
      </c>
      <c r="G680" s="25" t="str">
        <f aca="false">IF(A680="","",A680-WEEKDAY(A680,2)+1)</f>
        <v/>
      </c>
      <c r="H680" s="26" t="str">
        <f aca="false">IF(A680="","",DATE(YEAR(A680),MONTH(A680),1))</f>
        <v/>
      </c>
    </row>
    <row r="681" customFormat="false" ht="15" hidden="false" customHeight="false" outlineLevel="0" collapsed="false">
      <c r="A681" s="22"/>
      <c r="B681" s="23"/>
      <c r="C681" s="23"/>
      <c r="D681" s="24"/>
      <c r="E681" s="23"/>
      <c r="F681" s="15" t="str">
        <f aca="false">IF(B681="","",IFERROR(INDEX(Configurações!$B$7:$B$30,MATCH(B681,Configurações!$A$7:$A$30,0)),"?"))</f>
        <v/>
      </c>
      <c r="G681" s="25" t="str">
        <f aca="false">IF(A681="","",A681-WEEKDAY(A681,2)+1)</f>
        <v/>
      </c>
      <c r="H681" s="26" t="str">
        <f aca="false">IF(A681="","",DATE(YEAR(A681),MONTH(A681),1))</f>
        <v/>
      </c>
    </row>
    <row r="682" customFormat="false" ht="15" hidden="false" customHeight="false" outlineLevel="0" collapsed="false">
      <c r="A682" s="22"/>
      <c r="B682" s="23"/>
      <c r="C682" s="23"/>
      <c r="D682" s="24"/>
      <c r="E682" s="23"/>
      <c r="F682" s="15" t="str">
        <f aca="false">IF(B682="","",IFERROR(INDEX(Configurações!$B$7:$B$30,MATCH(B682,Configurações!$A$7:$A$30,0)),"?"))</f>
        <v/>
      </c>
      <c r="G682" s="25" t="str">
        <f aca="false">IF(A682="","",A682-WEEKDAY(A682,2)+1)</f>
        <v/>
      </c>
      <c r="H682" s="26" t="str">
        <f aca="false">IF(A682="","",DATE(YEAR(A682),MONTH(A682),1))</f>
        <v/>
      </c>
    </row>
    <row r="683" customFormat="false" ht="15" hidden="false" customHeight="false" outlineLevel="0" collapsed="false">
      <c r="A683" s="22"/>
      <c r="B683" s="23"/>
      <c r="C683" s="23"/>
      <c r="D683" s="24"/>
      <c r="E683" s="23"/>
      <c r="F683" s="15" t="str">
        <f aca="false">IF(B683="","",IFERROR(INDEX(Configurações!$B$7:$B$30,MATCH(B683,Configurações!$A$7:$A$30,0)),"?"))</f>
        <v/>
      </c>
      <c r="G683" s="25" t="str">
        <f aca="false">IF(A683="","",A683-WEEKDAY(A683,2)+1)</f>
        <v/>
      </c>
      <c r="H683" s="26" t="str">
        <f aca="false">IF(A683="","",DATE(YEAR(A683),MONTH(A683),1))</f>
        <v/>
      </c>
    </row>
    <row r="684" customFormat="false" ht="15" hidden="false" customHeight="false" outlineLevel="0" collapsed="false">
      <c r="A684" s="22"/>
      <c r="B684" s="23"/>
      <c r="C684" s="23"/>
      <c r="D684" s="24"/>
      <c r="E684" s="23"/>
      <c r="F684" s="15" t="str">
        <f aca="false">IF(B684="","",IFERROR(INDEX(Configurações!$B$7:$B$30,MATCH(B684,Configurações!$A$7:$A$30,0)),"?"))</f>
        <v/>
      </c>
      <c r="G684" s="25" t="str">
        <f aca="false">IF(A684="","",A684-WEEKDAY(A684,2)+1)</f>
        <v/>
      </c>
      <c r="H684" s="26" t="str">
        <f aca="false">IF(A684="","",DATE(YEAR(A684),MONTH(A684),1))</f>
        <v/>
      </c>
    </row>
    <row r="685" customFormat="false" ht="15" hidden="false" customHeight="false" outlineLevel="0" collapsed="false">
      <c r="A685" s="22"/>
      <c r="B685" s="23"/>
      <c r="C685" s="23"/>
      <c r="D685" s="24"/>
      <c r="E685" s="23"/>
      <c r="F685" s="15" t="str">
        <f aca="false">IF(B685="","",IFERROR(INDEX(Configurações!$B$7:$B$30,MATCH(B685,Configurações!$A$7:$A$30,0)),"?"))</f>
        <v/>
      </c>
      <c r="G685" s="25" t="str">
        <f aca="false">IF(A685="","",A685-WEEKDAY(A685,2)+1)</f>
        <v/>
      </c>
      <c r="H685" s="26" t="str">
        <f aca="false">IF(A685="","",DATE(YEAR(A685),MONTH(A685),1))</f>
        <v/>
      </c>
    </row>
    <row r="686" customFormat="false" ht="15" hidden="false" customHeight="false" outlineLevel="0" collapsed="false">
      <c r="A686" s="22"/>
      <c r="B686" s="23"/>
      <c r="C686" s="23"/>
      <c r="D686" s="24"/>
      <c r="E686" s="23"/>
      <c r="F686" s="15" t="str">
        <f aca="false">IF(B686="","",IFERROR(INDEX(Configurações!$B$7:$B$30,MATCH(B686,Configurações!$A$7:$A$30,0)),"?"))</f>
        <v/>
      </c>
      <c r="G686" s="25" t="str">
        <f aca="false">IF(A686="","",A686-WEEKDAY(A686,2)+1)</f>
        <v/>
      </c>
      <c r="H686" s="26" t="str">
        <f aca="false">IF(A686="","",DATE(YEAR(A686),MONTH(A686),1))</f>
        <v/>
      </c>
    </row>
    <row r="687" customFormat="false" ht="15" hidden="false" customHeight="false" outlineLevel="0" collapsed="false">
      <c r="A687" s="22"/>
      <c r="B687" s="23"/>
      <c r="C687" s="23"/>
      <c r="D687" s="24"/>
      <c r="E687" s="23"/>
      <c r="F687" s="15" t="str">
        <f aca="false">IF(B687="","",IFERROR(INDEX(Configurações!$B$7:$B$30,MATCH(B687,Configurações!$A$7:$A$30,0)),"?"))</f>
        <v/>
      </c>
      <c r="G687" s="25" t="str">
        <f aca="false">IF(A687="","",A687-WEEKDAY(A687,2)+1)</f>
        <v/>
      </c>
      <c r="H687" s="26" t="str">
        <f aca="false">IF(A687="","",DATE(YEAR(A687),MONTH(A687),1))</f>
        <v/>
      </c>
    </row>
    <row r="688" customFormat="false" ht="15" hidden="false" customHeight="false" outlineLevel="0" collapsed="false">
      <c r="A688" s="22"/>
      <c r="B688" s="23"/>
      <c r="C688" s="23"/>
      <c r="D688" s="24"/>
      <c r="E688" s="23"/>
      <c r="F688" s="15" t="str">
        <f aca="false">IF(B688="","",IFERROR(INDEX(Configurações!$B$7:$B$30,MATCH(B688,Configurações!$A$7:$A$30,0)),"?"))</f>
        <v/>
      </c>
      <c r="G688" s="25" t="str">
        <f aca="false">IF(A688="","",A688-WEEKDAY(A688,2)+1)</f>
        <v/>
      </c>
      <c r="H688" s="26" t="str">
        <f aca="false">IF(A688="","",DATE(YEAR(A688),MONTH(A688),1))</f>
        <v/>
      </c>
    </row>
    <row r="689" customFormat="false" ht="15" hidden="false" customHeight="false" outlineLevel="0" collapsed="false">
      <c r="A689" s="22"/>
      <c r="B689" s="23"/>
      <c r="C689" s="23"/>
      <c r="D689" s="24"/>
      <c r="E689" s="23"/>
      <c r="F689" s="15" t="str">
        <f aca="false">IF(B689="","",IFERROR(INDEX(Configurações!$B$7:$B$30,MATCH(B689,Configurações!$A$7:$A$30,0)),"?"))</f>
        <v/>
      </c>
      <c r="G689" s="25" t="str">
        <f aca="false">IF(A689="","",A689-WEEKDAY(A689,2)+1)</f>
        <v/>
      </c>
      <c r="H689" s="26" t="str">
        <f aca="false">IF(A689="","",DATE(YEAR(A689),MONTH(A689),1))</f>
        <v/>
      </c>
    </row>
    <row r="690" customFormat="false" ht="15" hidden="false" customHeight="false" outlineLevel="0" collapsed="false">
      <c r="A690" s="22"/>
      <c r="B690" s="23"/>
      <c r="C690" s="23"/>
      <c r="D690" s="24"/>
      <c r="E690" s="23"/>
      <c r="F690" s="15" t="str">
        <f aca="false">IF(B690="","",IFERROR(INDEX(Configurações!$B$7:$B$30,MATCH(B690,Configurações!$A$7:$A$30,0)),"?"))</f>
        <v/>
      </c>
      <c r="G690" s="25" t="str">
        <f aca="false">IF(A690="","",A690-WEEKDAY(A690,2)+1)</f>
        <v/>
      </c>
      <c r="H690" s="26" t="str">
        <f aca="false">IF(A690="","",DATE(YEAR(A690),MONTH(A690),1))</f>
        <v/>
      </c>
    </row>
    <row r="691" customFormat="false" ht="15" hidden="false" customHeight="false" outlineLevel="0" collapsed="false">
      <c r="A691" s="22"/>
      <c r="B691" s="23"/>
      <c r="C691" s="23"/>
      <c r="D691" s="24"/>
      <c r="E691" s="23"/>
      <c r="F691" s="15" t="str">
        <f aca="false">IF(B691="","",IFERROR(INDEX(Configurações!$B$7:$B$30,MATCH(B691,Configurações!$A$7:$A$30,0)),"?"))</f>
        <v/>
      </c>
      <c r="G691" s="25" t="str">
        <f aca="false">IF(A691="","",A691-WEEKDAY(A691,2)+1)</f>
        <v/>
      </c>
      <c r="H691" s="26" t="str">
        <f aca="false">IF(A691="","",DATE(YEAR(A691),MONTH(A691),1))</f>
        <v/>
      </c>
    </row>
    <row r="692" customFormat="false" ht="15" hidden="false" customHeight="false" outlineLevel="0" collapsed="false">
      <c r="A692" s="22"/>
      <c r="B692" s="23"/>
      <c r="C692" s="23"/>
      <c r="D692" s="24"/>
      <c r="E692" s="23"/>
      <c r="F692" s="15" t="str">
        <f aca="false">IF(B692="","",IFERROR(INDEX(Configurações!$B$7:$B$30,MATCH(B692,Configurações!$A$7:$A$30,0)),"?"))</f>
        <v/>
      </c>
      <c r="G692" s="25" t="str">
        <f aca="false">IF(A692="","",A692-WEEKDAY(A692,2)+1)</f>
        <v/>
      </c>
      <c r="H692" s="26" t="str">
        <f aca="false">IF(A692="","",DATE(YEAR(A692),MONTH(A692),1))</f>
        <v/>
      </c>
    </row>
    <row r="693" customFormat="false" ht="15" hidden="false" customHeight="false" outlineLevel="0" collapsed="false">
      <c r="A693" s="22"/>
      <c r="B693" s="23"/>
      <c r="C693" s="23"/>
      <c r="D693" s="24"/>
      <c r="E693" s="23"/>
      <c r="F693" s="15" t="str">
        <f aca="false">IF(B693="","",IFERROR(INDEX(Configurações!$B$7:$B$30,MATCH(B693,Configurações!$A$7:$A$30,0)),"?"))</f>
        <v/>
      </c>
      <c r="G693" s="25" t="str">
        <f aca="false">IF(A693="","",A693-WEEKDAY(A693,2)+1)</f>
        <v/>
      </c>
      <c r="H693" s="26" t="str">
        <f aca="false">IF(A693="","",DATE(YEAR(A693),MONTH(A693),1))</f>
        <v/>
      </c>
    </row>
    <row r="694" customFormat="false" ht="15" hidden="false" customHeight="false" outlineLevel="0" collapsed="false">
      <c r="A694" s="22"/>
      <c r="B694" s="23"/>
      <c r="C694" s="23"/>
      <c r="D694" s="24"/>
      <c r="E694" s="23"/>
      <c r="F694" s="15" t="str">
        <f aca="false">IF(B694="","",IFERROR(INDEX(Configurações!$B$7:$B$30,MATCH(B694,Configurações!$A$7:$A$30,0)),"?"))</f>
        <v/>
      </c>
      <c r="G694" s="25" t="str">
        <f aca="false">IF(A694="","",A694-WEEKDAY(A694,2)+1)</f>
        <v/>
      </c>
      <c r="H694" s="26" t="str">
        <f aca="false">IF(A694="","",DATE(YEAR(A694),MONTH(A694),1))</f>
        <v/>
      </c>
    </row>
    <row r="695" customFormat="false" ht="15" hidden="false" customHeight="false" outlineLevel="0" collapsed="false">
      <c r="A695" s="22"/>
      <c r="B695" s="23"/>
      <c r="C695" s="23"/>
      <c r="D695" s="24"/>
      <c r="E695" s="23"/>
      <c r="F695" s="15" t="str">
        <f aca="false">IF(B695="","",IFERROR(INDEX(Configurações!$B$7:$B$30,MATCH(B695,Configurações!$A$7:$A$30,0)),"?"))</f>
        <v/>
      </c>
      <c r="G695" s="25" t="str">
        <f aca="false">IF(A695="","",A695-WEEKDAY(A695,2)+1)</f>
        <v/>
      </c>
      <c r="H695" s="26" t="str">
        <f aca="false">IF(A695="","",DATE(YEAR(A695),MONTH(A695),1))</f>
        <v/>
      </c>
    </row>
    <row r="696" customFormat="false" ht="15" hidden="false" customHeight="false" outlineLevel="0" collapsed="false">
      <c r="A696" s="22"/>
      <c r="B696" s="23"/>
      <c r="C696" s="23"/>
      <c r="D696" s="24"/>
      <c r="E696" s="23"/>
      <c r="F696" s="15" t="str">
        <f aca="false">IF(B696="","",IFERROR(INDEX(Configurações!$B$7:$B$30,MATCH(B696,Configurações!$A$7:$A$30,0)),"?"))</f>
        <v/>
      </c>
      <c r="G696" s="25" t="str">
        <f aca="false">IF(A696="","",A696-WEEKDAY(A696,2)+1)</f>
        <v/>
      </c>
      <c r="H696" s="26" t="str">
        <f aca="false">IF(A696="","",DATE(YEAR(A696),MONTH(A696),1))</f>
        <v/>
      </c>
    </row>
    <row r="697" customFormat="false" ht="15" hidden="false" customHeight="false" outlineLevel="0" collapsed="false">
      <c r="A697" s="22"/>
      <c r="B697" s="23"/>
      <c r="C697" s="23"/>
      <c r="D697" s="24"/>
      <c r="E697" s="23"/>
      <c r="F697" s="15" t="str">
        <f aca="false">IF(B697="","",IFERROR(INDEX(Configurações!$B$7:$B$30,MATCH(B697,Configurações!$A$7:$A$30,0)),"?"))</f>
        <v/>
      </c>
      <c r="G697" s="25" t="str">
        <f aca="false">IF(A697="","",A697-WEEKDAY(A697,2)+1)</f>
        <v/>
      </c>
      <c r="H697" s="26" t="str">
        <f aca="false">IF(A697="","",DATE(YEAR(A697),MONTH(A697),1))</f>
        <v/>
      </c>
    </row>
    <row r="698" customFormat="false" ht="15" hidden="false" customHeight="false" outlineLevel="0" collapsed="false">
      <c r="A698" s="22"/>
      <c r="B698" s="23"/>
      <c r="C698" s="23"/>
      <c r="D698" s="24"/>
      <c r="E698" s="23"/>
      <c r="F698" s="15" t="str">
        <f aca="false">IF(B698="","",IFERROR(INDEX(Configurações!$B$7:$B$30,MATCH(B698,Configurações!$A$7:$A$30,0)),"?"))</f>
        <v/>
      </c>
      <c r="G698" s="25" t="str">
        <f aca="false">IF(A698="","",A698-WEEKDAY(A698,2)+1)</f>
        <v/>
      </c>
      <c r="H698" s="26" t="str">
        <f aca="false">IF(A698="","",DATE(YEAR(A698),MONTH(A698),1))</f>
        <v/>
      </c>
    </row>
    <row r="699" customFormat="false" ht="15" hidden="false" customHeight="false" outlineLevel="0" collapsed="false">
      <c r="A699" s="22"/>
      <c r="B699" s="23"/>
      <c r="C699" s="23"/>
      <c r="D699" s="24"/>
      <c r="E699" s="23"/>
      <c r="F699" s="15" t="str">
        <f aca="false">IF(B699="","",IFERROR(INDEX(Configurações!$B$7:$B$30,MATCH(B699,Configurações!$A$7:$A$30,0)),"?"))</f>
        <v/>
      </c>
      <c r="G699" s="25" t="str">
        <f aca="false">IF(A699="","",A699-WEEKDAY(A699,2)+1)</f>
        <v/>
      </c>
      <c r="H699" s="26" t="str">
        <f aca="false">IF(A699="","",DATE(YEAR(A699),MONTH(A699),1))</f>
        <v/>
      </c>
    </row>
    <row r="700" customFormat="false" ht="15" hidden="false" customHeight="false" outlineLevel="0" collapsed="false">
      <c r="A700" s="22"/>
      <c r="B700" s="23"/>
      <c r="C700" s="23"/>
      <c r="D700" s="24"/>
      <c r="E700" s="23"/>
      <c r="F700" s="15" t="str">
        <f aca="false">IF(B700="","",IFERROR(INDEX(Configurações!$B$7:$B$30,MATCH(B700,Configurações!$A$7:$A$30,0)),"?"))</f>
        <v/>
      </c>
      <c r="G700" s="25" t="str">
        <f aca="false">IF(A700="","",A700-WEEKDAY(A700,2)+1)</f>
        <v/>
      </c>
      <c r="H700" s="26" t="str">
        <f aca="false">IF(A700="","",DATE(YEAR(A700),MONTH(A700),1))</f>
        <v/>
      </c>
    </row>
    <row r="701" customFormat="false" ht="15" hidden="false" customHeight="false" outlineLevel="0" collapsed="false">
      <c r="A701" s="22"/>
      <c r="B701" s="23"/>
      <c r="C701" s="23"/>
      <c r="D701" s="24"/>
      <c r="E701" s="23"/>
      <c r="F701" s="15" t="str">
        <f aca="false">IF(B701="","",IFERROR(INDEX(Configurações!$B$7:$B$30,MATCH(B701,Configurações!$A$7:$A$30,0)),"?"))</f>
        <v/>
      </c>
      <c r="G701" s="25" t="str">
        <f aca="false">IF(A701="","",A701-WEEKDAY(A701,2)+1)</f>
        <v/>
      </c>
      <c r="H701" s="26" t="str">
        <f aca="false">IF(A701="","",DATE(YEAR(A701),MONTH(A701),1))</f>
        <v/>
      </c>
    </row>
    <row r="702" customFormat="false" ht="15" hidden="false" customHeight="false" outlineLevel="0" collapsed="false">
      <c r="A702" s="22"/>
      <c r="B702" s="23"/>
      <c r="C702" s="23"/>
      <c r="D702" s="24"/>
      <c r="E702" s="23"/>
      <c r="F702" s="15" t="str">
        <f aca="false">IF(B702="","",IFERROR(INDEX(Configurações!$B$7:$B$30,MATCH(B702,Configurações!$A$7:$A$30,0)),"?"))</f>
        <v/>
      </c>
      <c r="G702" s="25" t="str">
        <f aca="false">IF(A702="","",A702-WEEKDAY(A702,2)+1)</f>
        <v/>
      </c>
      <c r="H702" s="26" t="str">
        <f aca="false">IF(A702="","",DATE(YEAR(A702),MONTH(A702),1))</f>
        <v/>
      </c>
    </row>
    <row r="703" customFormat="false" ht="15" hidden="false" customHeight="false" outlineLevel="0" collapsed="false">
      <c r="A703" s="22"/>
      <c r="B703" s="23"/>
      <c r="C703" s="23"/>
      <c r="D703" s="24"/>
      <c r="E703" s="23"/>
      <c r="F703" s="15" t="str">
        <f aca="false">IF(B703="","",IFERROR(INDEX(Configurações!$B$7:$B$30,MATCH(B703,Configurações!$A$7:$A$30,0)),"?"))</f>
        <v/>
      </c>
      <c r="G703" s="25" t="str">
        <f aca="false">IF(A703="","",A703-WEEKDAY(A703,2)+1)</f>
        <v/>
      </c>
      <c r="H703" s="26" t="str">
        <f aca="false">IF(A703="","",DATE(YEAR(A703),MONTH(A703),1))</f>
        <v/>
      </c>
    </row>
    <row r="704" customFormat="false" ht="15" hidden="false" customHeight="false" outlineLevel="0" collapsed="false">
      <c r="A704" s="22"/>
      <c r="B704" s="23"/>
      <c r="C704" s="23"/>
      <c r="D704" s="24"/>
      <c r="E704" s="23"/>
      <c r="F704" s="15" t="str">
        <f aca="false">IF(B704="","",IFERROR(INDEX(Configurações!$B$7:$B$30,MATCH(B704,Configurações!$A$7:$A$30,0)),"?"))</f>
        <v/>
      </c>
      <c r="G704" s="25" t="str">
        <f aca="false">IF(A704="","",A704-WEEKDAY(A704,2)+1)</f>
        <v/>
      </c>
      <c r="H704" s="26" t="str">
        <f aca="false">IF(A704="","",DATE(YEAR(A704),MONTH(A704),1))</f>
        <v/>
      </c>
    </row>
    <row r="705" customFormat="false" ht="15" hidden="false" customHeight="false" outlineLevel="0" collapsed="false">
      <c r="A705" s="22"/>
      <c r="B705" s="23"/>
      <c r="C705" s="23"/>
      <c r="D705" s="24"/>
      <c r="E705" s="23"/>
      <c r="F705" s="15" t="str">
        <f aca="false">IF(B705="","",IFERROR(INDEX(Configurações!$B$7:$B$30,MATCH(B705,Configurações!$A$7:$A$30,0)),"?"))</f>
        <v/>
      </c>
      <c r="G705" s="25" t="str">
        <f aca="false">IF(A705="","",A705-WEEKDAY(A705,2)+1)</f>
        <v/>
      </c>
      <c r="H705" s="26" t="str">
        <f aca="false">IF(A705="","",DATE(YEAR(A705),MONTH(A705),1))</f>
        <v/>
      </c>
    </row>
    <row r="706" customFormat="false" ht="15" hidden="false" customHeight="false" outlineLevel="0" collapsed="false">
      <c r="A706" s="22"/>
      <c r="B706" s="23"/>
      <c r="C706" s="23"/>
      <c r="D706" s="24"/>
      <c r="E706" s="23"/>
      <c r="F706" s="15" t="str">
        <f aca="false">IF(B706="","",IFERROR(INDEX(Configurações!$B$7:$B$30,MATCH(B706,Configurações!$A$7:$A$30,0)),"?"))</f>
        <v/>
      </c>
      <c r="G706" s="25" t="str">
        <f aca="false">IF(A706="","",A706-WEEKDAY(A706,2)+1)</f>
        <v/>
      </c>
      <c r="H706" s="26" t="str">
        <f aca="false">IF(A706="","",DATE(YEAR(A706),MONTH(A706),1))</f>
        <v/>
      </c>
    </row>
    <row r="707" customFormat="false" ht="15" hidden="false" customHeight="false" outlineLevel="0" collapsed="false">
      <c r="A707" s="22"/>
      <c r="B707" s="23"/>
      <c r="C707" s="23"/>
      <c r="D707" s="24"/>
      <c r="E707" s="23"/>
      <c r="F707" s="15" t="str">
        <f aca="false">IF(B707="","",IFERROR(INDEX(Configurações!$B$7:$B$30,MATCH(B707,Configurações!$A$7:$A$30,0)),"?"))</f>
        <v/>
      </c>
      <c r="G707" s="25" t="str">
        <f aca="false">IF(A707="","",A707-WEEKDAY(A707,2)+1)</f>
        <v/>
      </c>
      <c r="H707" s="26" t="str">
        <f aca="false">IF(A707="","",DATE(YEAR(A707),MONTH(A707),1))</f>
        <v/>
      </c>
    </row>
    <row r="708" customFormat="false" ht="15" hidden="false" customHeight="false" outlineLevel="0" collapsed="false">
      <c r="A708" s="22"/>
      <c r="B708" s="23"/>
      <c r="C708" s="23"/>
      <c r="D708" s="24"/>
      <c r="E708" s="23"/>
      <c r="F708" s="15" t="str">
        <f aca="false">IF(B708="","",IFERROR(INDEX(Configurações!$B$7:$B$30,MATCH(B708,Configurações!$A$7:$A$30,0)),"?"))</f>
        <v/>
      </c>
      <c r="G708" s="25" t="str">
        <f aca="false">IF(A708="","",A708-WEEKDAY(A708,2)+1)</f>
        <v/>
      </c>
      <c r="H708" s="26" t="str">
        <f aca="false">IF(A708="","",DATE(YEAR(A708),MONTH(A708),1))</f>
        <v/>
      </c>
    </row>
    <row r="709" customFormat="false" ht="15" hidden="false" customHeight="false" outlineLevel="0" collapsed="false">
      <c r="A709" s="22"/>
      <c r="B709" s="23"/>
      <c r="C709" s="23"/>
      <c r="D709" s="24"/>
      <c r="E709" s="23"/>
      <c r="F709" s="15" t="str">
        <f aca="false">IF(B709="","",IFERROR(INDEX(Configurações!$B$7:$B$30,MATCH(B709,Configurações!$A$7:$A$30,0)),"?"))</f>
        <v/>
      </c>
      <c r="G709" s="25" t="str">
        <f aca="false">IF(A709="","",A709-WEEKDAY(A709,2)+1)</f>
        <v/>
      </c>
      <c r="H709" s="26" t="str">
        <f aca="false">IF(A709="","",DATE(YEAR(A709),MONTH(A709),1))</f>
        <v/>
      </c>
    </row>
    <row r="710" customFormat="false" ht="15" hidden="false" customHeight="false" outlineLevel="0" collapsed="false">
      <c r="A710" s="22"/>
      <c r="B710" s="23"/>
      <c r="C710" s="23"/>
      <c r="D710" s="24"/>
      <c r="E710" s="23"/>
      <c r="F710" s="15" t="str">
        <f aca="false">IF(B710="","",IFERROR(INDEX(Configurações!$B$7:$B$30,MATCH(B710,Configurações!$A$7:$A$30,0)),"?"))</f>
        <v/>
      </c>
      <c r="G710" s="25" t="str">
        <f aca="false">IF(A710="","",A710-WEEKDAY(A710,2)+1)</f>
        <v/>
      </c>
      <c r="H710" s="26" t="str">
        <f aca="false">IF(A710="","",DATE(YEAR(A710),MONTH(A710),1))</f>
        <v/>
      </c>
    </row>
    <row r="711" customFormat="false" ht="15" hidden="false" customHeight="false" outlineLevel="0" collapsed="false">
      <c r="A711" s="22"/>
      <c r="B711" s="23"/>
      <c r="C711" s="23"/>
      <c r="D711" s="24"/>
      <c r="E711" s="23"/>
      <c r="F711" s="15" t="str">
        <f aca="false">IF(B711="","",IFERROR(INDEX(Configurações!$B$7:$B$30,MATCH(B711,Configurações!$A$7:$A$30,0)),"?"))</f>
        <v/>
      </c>
      <c r="G711" s="25" t="str">
        <f aca="false">IF(A711="","",A711-WEEKDAY(A711,2)+1)</f>
        <v/>
      </c>
      <c r="H711" s="26" t="str">
        <f aca="false">IF(A711="","",DATE(YEAR(A711),MONTH(A711),1))</f>
        <v/>
      </c>
    </row>
    <row r="712" customFormat="false" ht="15" hidden="false" customHeight="false" outlineLevel="0" collapsed="false">
      <c r="A712" s="22"/>
      <c r="B712" s="23"/>
      <c r="C712" s="23"/>
      <c r="D712" s="24"/>
      <c r="E712" s="23"/>
      <c r="F712" s="15" t="str">
        <f aca="false">IF(B712="","",IFERROR(INDEX(Configurações!$B$7:$B$30,MATCH(B712,Configurações!$A$7:$A$30,0)),"?"))</f>
        <v/>
      </c>
      <c r="G712" s="25" t="str">
        <f aca="false">IF(A712="","",A712-WEEKDAY(A712,2)+1)</f>
        <v/>
      </c>
      <c r="H712" s="26" t="str">
        <f aca="false">IF(A712="","",DATE(YEAR(A712),MONTH(A712),1))</f>
        <v/>
      </c>
    </row>
    <row r="713" customFormat="false" ht="15" hidden="false" customHeight="false" outlineLevel="0" collapsed="false">
      <c r="A713" s="22"/>
      <c r="B713" s="23"/>
      <c r="C713" s="23"/>
      <c r="D713" s="24"/>
      <c r="E713" s="23"/>
      <c r="F713" s="15" t="str">
        <f aca="false">IF(B713="","",IFERROR(INDEX(Configurações!$B$7:$B$30,MATCH(B713,Configurações!$A$7:$A$30,0)),"?"))</f>
        <v/>
      </c>
      <c r="G713" s="25" t="str">
        <f aca="false">IF(A713="","",A713-WEEKDAY(A713,2)+1)</f>
        <v/>
      </c>
      <c r="H713" s="26" t="str">
        <f aca="false">IF(A713="","",DATE(YEAR(A713),MONTH(A713),1))</f>
        <v/>
      </c>
    </row>
    <row r="714" customFormat="false" ht="15" hidden="false" customHeight="false" outlineLevel="0" collapsed="false">
      <c r="A714" s="22"/>
      <c r="B714" s="23"/>
      <c r="C714" s="23"/>
      <c r="D714" s="24"/>
      <c r="E714" s="23"/>
      <c r="F714" s="15" t="str">
        <f aca="false">IF(B714="","",IFERROR(INDEX(Configurações!$B$7:$B$30,MATCH(B714,Configurações!$A$7:$A$30,0)),"?"))</f>
        <v/>
      </c>
      <c r="G714" s="25" t="str">
        <f aca="false">IF(A714="","",A714-WEEKDAY(A714,2)+1)</f>
        <v/>
      </c>
      <c r="H714" s="26" t="str">
        <f aca="false">IF(A714="","",DATE(YEAR(A714),MONTH(A714),1))</f>
        <v/>
      </c>
    </row>
    <row r="715" customFormat="false" ht="15" hidden="false" customHeight="false" outlineLevel="0" collapsed="false">
      <c r="A715" s="22"/>
      <c r="B715" s="23"/>
      <c r="C715" s="23"/>
      <c r="D715" s="24"/>
      <c r="E715" s="23"/>
      <c r="F715" s="15" t="str">
        <f aca="false">IF(B715="","",IFERROR(INDEX(Configurações!$B$7:$B$30,MATCH(B715,Configurações!$A$7:$A$30,0)),"?"))</f>
        <v/>
      </c>
      <c r="G715" s="25" t="str">
        <f aca="false">IF(A715="","",A715-WEEKDAY(A715,2)+1)</f>
        <v/>
      </c>
      <c r="H715" s="26" t="str">
        <f aca="false">IF(A715="","",DATE(YEAR(A715),MONTH(A715),1))</f>
        <v/>
      </c>
    </row>
    <row r="716" customFormat="false" ht="15" hidden="false" customHeight="false" outlineLevel="0" collapsed="false">
      <c r="A716" s="22"/>
      <c r="B716" s="23"/>
      <c r="C716" s="23"/>
      <c r="D716" s="24"/>
      <c r="E716" s="23"/>
      <c r="F716" s="15" t="str">
        <f aca="false">IF(B716="","",IFERROR(INDEX(Configurações!$B$7:$B$30,MATCH(B716,Configurações!$A$7:$A$30,0)),"?"))</f>
        <v/>
      </c>
      <c r="G716" s="25" t="str">
        <f aca="false">IF(A716="","",A716-WEEKDAY(A716,2)+1)</f>
        <v/>
      </c>
      <c r="H716" s="26" t="str">
        <f aca="false">IF(A716="","",DATE(YEAR(A716),MONTH(A716),1))</f>
        <v/>
      </c>
    </row>
    <row r="717" customFormat="false" ht="15" hidden="false" customHeight="false" outlineLevel="0" collapsed="false">
      <c r="A717" s="22"/>
      <c r="B717" s="23"/>
      <c r="C717" s="23"/>
      <c r="D717" s="24"/>
      <c r="E717" s="23"/>
      <c r="F717" s="15" t="str">
        <f aca="false">IF(B717="","",IFERROR(INDEX(Configurações!$B$7:$B$30,MATCH(B717,Configurações!$A$7:$A$30,0)),"?"))</f>
        <v/>
      </c>
      <c r="G717" s="25" t="str">
        <f aca="false">IF(A717="","",A717-WEEKDAY(A717,2)+1)</f>
        <v/>
      </c>
      <c r="H717" s="26" t="str">
        <f aca="false">IF(A717="","",DATE(YEAR(A717),MONTH(A717),1))</f>
        <v/>
      </c>
    </row>
    <row r="718" customFormat="false" ht="15" hidden="false" customHeight="false" outlineLevel="0" collapsed="false">
      <c r="A718" s="22"/>
      <c r="B718" s="23"/>
      <c r="C718" s="23"/>
      <c r="D718" s="24"/>
      <c r="E718" s="23"/>
      <c r="F718" s="15" t="str">
        <f aca="false">IF(B718="","",IFERROR(INDEX(Configurações!$B$7:$B$30,MATCH(B718,Configurações!$A$7:$A$30,0)),"?"))</f>
        <v/>
      </c>
      <c r="G718" s="25" t="str">
        <f aca="false">IF(A718="","",A718-WEEKDAY(A718,2)+1)</f>
        <v/>
      </c>
      <c r="H718" s="26" t="str">
        <f aca="false">IF(A718="","",DATE(YEAR(A718),MONTH(A718),1))</f>
        <v/>
      </c>
    </row>
    <row r="719" customFormat="false" ht="15" hidden="false" customHeight="false" outlineLevel="0" collapsed="false">
      <c r="A719" s="22"/>
      <c r="B719" s="23"/>
      <c r="C719" s="23"/>
      <c r="D719" s="24"/>
      <c r="E719" s="23"/>
      <c r="F719" s="15" t="str">
        <f aca="false">IF(B719="","",IFERROR(INDEX(Configurações!$B$7:$B$30,MATCH(B719,Configurações!$A$7:$A$30,0)),"?"))</f>
        <v/>
      </c>
      <c r="G719" s="25" t="str">
        <f aca="false">IF(A719="","",A719-WEEKDAY(A719,2)+1)</f>
        <v/>
      </c>
      <c r="H719" s="26" t="str">
        <f aca="false">IF(A719="","",DATE(YEAR(A719),MONTH(A719),1))</f>
        <v/>
      </c>
    </row>
    <row r="720" customFormat="false" ht="15" hidden="false" customHeight="false" outlineLevel="0" collapsed="false">
      <c r="A720" s="22"/>
      <c r="B720" s="23"/>
      <c r="C720" s="23"/>
      <c r="D720" s="24"/>
      <c r="E720" s="23"/>
      <c r="F720" s="15" t="str">
        <f aca="false">IF(B720="","",IFERROR(INDEX(Configurações!$B$7:$B$30,MATCH(B720,Configurações!$A$7:$A$30,0)),"?"))</f>
        <v/>
      </c>
      <c r="G720" s="25" t="str">
        <f aca="false">IF(A720="","",A720-WEEKDAY(A720,2)+1)</f>
        <v/>
      </c>
      <c r="H720" s="26" t="str">
        <f aca="false">IF(A720="","",DATE(YEAR(A720),MONTH(A720),1))</f>
        <v/>
      </c>
    </row>
    <row r="721" customFormat="false" ht="15" hidden="false" customHeight="false" outlineLevel="0" collapsed="false">
      <c r="A721" s="22"/>
      <c r="B721" s="23"/>
      <c r="C721" s="23"/>
      <c r="D721" s="24"/>
      <c r="E721" s="23"/>
      <c r="F721" s="15" t="str">
        <f aca="false">IF(B721="","",IFERROR(INDEX(Configurações!$B$7:$B$30,MATCH(B721,Configurações!$A$7:$A$30,0)),"?"))</f>
        <v/>
      </c>
      <c r="G721" s="25" t="str">
        <f aca="false">IF(A721="","",A721-WEEKDAY(A721,2)+1)</f>
        <v/>
      </c>
      <c r="H721" s="26" t="str">
        <f aca="false">IF(A721="","",DATE(YEAR(A721),MONTH(A721),1))</f>
        <v/>
      </c>
    </row>
    <row r="722" customFormat="false" ht="15" hidden="false" customHeight="false" outlineLevel="0" collapsed="false">
      <c r="A722" s="22"/>
      <c r="B722" s="23"/>
      <c r="C722" s="23"/>
      <c r="D722" s="24"/>
      <c r="E722" s="23"/>
      <c r="F722" s="15" t="str">
        <f aca="false">IF(B722="","",IFERROR(INDEX(Configurações!$B$7:$B$30,MATCH(B722,Configurações!$A$7:$A$30,0)),"?"))</f>
        <v/>
      </c>
      <c r="G722" s="25" t="str">
        <f aca="false">IF(A722="","",A722-WEEKDAY(A722,2)+1)</f>
        <v/>
      </c>
      <c r="H722" s="26" t="str">
        <f aca="false">IF(A722="","",DATE(YEAR(A722),MONTH(A722),1))</f>
        <v/>
      </c>
    </row>
    <row r="723" customFormat="false" ht="15" hidden="false" customHeight="false" outlineLevel="0" collapsed="false">
      <c r="A723" s="22"/>
      <c r="B723" s="23"/>
      <c r="C723" s="23"/>
      <c r="D723" s="24"/>
      <c r="E723" s="23"/>
      <c r="F723" s="15" t="str">
        <f aca="false">IF(B723="","",IFERROR(INDEX(Configurações!$B$7:$B$30,MATCH(B723,Configurações!$A$7:$A$30,0)),"?"))</f>
        <v/>
      </c>
      <c r="G723" s="25" t="str">
        <f aca="false">IF(A723="","",A723-WEEKDAY(A723,2)+1)</f>
        <v/>
      </c>
      <c r="H723" s="26" t="str">
        <f aca="false">IF(A723="","",DATE(YEAR(A723),MONTH(A723),1))</f>
        <v/>
      </c>
    </row>
    <row r="724" customFormat="false" ht="15" hidden="false" customHeight="false" outlineLevel="0" collapsed="false">
      <c r="A724" s="22"/>
      <c r="B724" s="23"/>
      <c r="C724" s="23"/>
      <c r="D724" s="24"/>
      <c r="E724" s="23"/>
      <c r="F724" s="15" t="str">
        <f aca="false">IF(B724="","",IFERROR(INDEX(Configurações!$B$7:$B$30,MATCH(B724,Configurações!$A$7:$A$30,0)),"?"))</f>
        <v/>
      </c>
      <c r="G724" s="25" t="str">
        <f aca="false">IF(A724="","",A724-WEEKDAY(A724,2)+1)</f>
        <v/>
      </c>
      <c r="H724" s="26" t="str">
        <f aca="false">IF(A724="","",DATE(YEAR(A724),MONTH(A724),1))</f>
        <v/>
      </c>
    </row>
    <row r="725" customFormat="false" ht="15" hidden="false" customHeight="false" outlineLevel="0" collapsed="false">
      <c r="A725" s="22"/>
      <c r="B725" s="23"/>
      <c r="C725" s="23"/>
      <c r="D725" s="24"/>
      <c r="E725" s="23"/>
      <c r="F725" s="15" t="str">
        <f aca="false">IF(B725="","",IFERROR(INDEX(Configurações!$B$7:$B$30,MATCH(B725,Configurações!$A$7:$A$30,0)),"?"))</f>
        <v/>
      </c>
      <c r="G725" s="25" t="str">
        <f aca="false">IF(A725="","",A725-WEEKDAY(A725,2)+1)</f>
        <v/>
      </c>
      <c r="H725" s="26" t="str">
        <f aca="false">IF(A725="","",DATE(YEAR(A725),MONTH(A725),1))</f>
        <v/>
      </c>
    </row>
    <row r="726" customFormat="false" ht="15" hidden="false" customHeight="false" outlineLevel="0" collapsed="false">
      <c r="A726" s="22"/>
      <c r="B726" s="23"/>
      <c r="C726" s="23"/>
      <c r="D726" s="24"/>
      <c r="E726" s="23"/>
      <c r="F726" s="15" t="str">
        <f aca="false">IF(B726="","",IFERROR(INDEX(Configurações!$B$7:$B$30,MATCH(B726,Configurações!$A$7:$A$30,0)),"?"))</f>
        <v/>
      </c>
      <c r="G726" s="25" t="str">
        <f aca="false">IF(A726="","",A726-WEEKDAY(A726,2)+1)</f>
        <v/>
      </c>
      <c r="H726" s="26" t="str">
        <f aca="false">IF(A726="","",DATE(YEAR(A726),MONTH(A726),1))</f>
        <v/>
      </c>
    </row>
    <row r="727" customFormat="false" ht="15" hidden="false" customHeight="false" outlineLevel="0" collapsed="false">
      <c r="A727" s="22"/>
      <c r="B727" s="23"/>
      <c r="C727" s="23"/>
      <c r="D727" s="24"/>
      <c r="E727" s="23"/>
      <c r="F727" s="15" t="str">
        <f aca="false">IF(B727="","",IFERROR(INDEX(Configurações!$B$7:$B$30,MATCH(B727,Configurações!$A$7:$A$30,0)),"?"))</f>
        <v/>
      </c>
      <c r="G727" s="25" t="str">
        <f aca="false">IF(A727="","",A727-WEEKDAY(A727,2)+1)</f>
        <v/>
      </c>
      <c r="H727" s="26" t="str">
        <f aca="false">IF(A727="","",DATE(YEAR(A727),MONTH(A727),1))</f>
        <v/>
      </c>
    </row>
    <row r="728" customFormat="false" ht="15" hidden="false" customHeight="false" outlineLevel="0" collapsed="false">
      <c r="A728" s="22"/>
      <c r="B728" s="23"/>
      <c r="C728" s="23"/>
      <c r="D728" s="24"/>
      <c r="E728" s="23"/>
      <c r="F728" s="15" t="str">
        <f aca="false">IF(B728="","",IFERROR(INDEX(Configurações!$B$7:$B$30,MATCH(B728,Configurações!$A$7:$A$30,0)),"?"))</f>
        <v/>
      </c>
      <c r="G728" s="25" t="str">
        <f aca="false">IF(A728="","",A728-WEEKDAY(A728,2)+1)</f>
        <v/>
      </c>
      <c r="H728" s="26" t="str">
        <f aca="false">IF(A728="","",DATE(YEAR(A728),MONTH(A728),1))</f>
        <v/>
      </c>
    </row>
    <row r="729" customFormat="false" ht="15" hidden="false" customHeight="false" outlineLevel="0" collapsed="false">
      <c r="A729" s="22"/>
      <c r="B729" s="23"/>
      <c r="C729" s="23"/>
      <c r="D729" s="24"/>
      <c r="E729" s="23"/>
      <c r="F729" s="15" t="str">
        <f aca="false">IF(B729="","",IFERROR(INDEX(Configurações!$B$7:$B$30,MATCH(B729,Configurações!$A$7:$A$30,0)),"?"))</f>
        <v/>
      </c>
      <c r="G729" s="25" t="str">
        <f aca="false">IF(A729="","",A729-WEEKDAY(A729,2)+1)</f>
        <v/>
      </c>
      <c r="H729" s="26" t="str">
        <f aca="false">IF(A729="","",DATE(YEAR(A729),MONTH(A729),1))</f>
        <v/>
      </c>
    </row>
    <row r="730" customFormat="false" ht="15" hidden="false" customHeight="false" outlineLevel="0" collapsed="false">
      <c r="A730" s="22"/>
      <c r="B730" s="23"/>
      <c r="C730" s="23"/>
      <c r="D730" s="24"/>
      <c r="E730" s="23"/>
      <c r="F730" s="15" t="str">
        <f aca="false">IF(B730="","",IFERROR(INDEX(Configurações!$B$7:$B$30,MATCH(B730,Configurações!$A$7:$A$30,0)),"?"))</f>
        <v/>
      </c>
      <c r="G730" s="25" t="str">
        <f aca="false">IF(A730="","",A730-WEEKDAY(A730,2)+1)</f>
        <v/>
      </c>
      <c r="H730" s="26" t="str">
        <f aca="false">IF(A730="","",DATE(YEAR(A730),MONTH(A730),1))</f>
        <v/>
      </c>
    </row>
    <row r="731" customFormat="false" ht="15" hidden="false" customHeight="false" outlineLevel="0" collapsed="false">
      <c r="A731" s="22"/>
      <c r="B731" s="23"/>
      <c r="C731" s="23"/>
      <c r="D731" s="24"/>
      <c r="E731" s="23"/>
      <c r="F731" s="15" t="str">
        <f aca="false">IF(B731="","",IFERROR(INDEX(Configurações!$B$7:$B$30,MATCH(B731,Configurações!$A$7:$A$30,0)),"?"))</f>
        <v/>
      </c>
      <c r="G731" s="25" t="str">
        <f aca="false">IF(A731="","",A731-WEEKDAY(A731,2)+1)</f>
        <v/>
      </c>
      <c r="H731" s="26" t="str">
        <f aca="false">IF(A731="","",DATE(YEAR(A731),MONTH(A731),1))</f>
        <v/>
      </c>
    </row>
    <row r="732" customFormat="false" ht="15" hidden="false" customHeight="false" outlineLevel="0" collapsed="false">
      <c r="A732" s="22"/>
      <c r="B732" s="23"/>
      <c r="C732" s="23"/>
      <c r="D732" s="24"/>
      <c r="E732" s="23"/>
      <c r="F732" s="15" t="str">
        <f aca="false">IF(B732="","",IFERROR(INDEX(Configurações!$B$7:$B$30,MATCH(B732,Configurações!$A$7:$A$30,0)),"?"))</f>
        <v/>
      </c>
      <c r="G732" s="25" t="str">
        <f aca="false">IF(A732="","",A732-WEEKDAY(A732,2)+1)</f>
        <v/>
      </c>
      <c r="H732" s="26" t="str">
        <f aca="false">IF(A732="","",DATE(YEAR(A732),MONTH(A732),1))</f>
        <v/>
      </c>
    </row>
    <row r="733" customFormat="false" ht="15" hidden="false" customHeight="false" outlineLevel="0" collapsed="false">
      <c r="A733" s="22"/>
      <c r="B733" s="23"/>
      <c r="C733" s="23"/>
      <c r="D733" s="24"/>
      <c r="E733" s="23"/>
      <c r="F733" s="15" t="str">
        <f aca="false">IF(B733="","",IFERROR(INDEX(Configurações!$B$7:$B$30,MATCH(B733,Configurações!$A$7:$A$30,0)),"?"))</f>
        <v/>
      </c>
      <c r="G733" s="25" t="str">
        <f aca="false">IF(A733="","",A733-WEEKDAY(A733,2)+1)</f>
        <v/>
      </c>
      <c r="H733" s="26" t="str">
        <f aca="false">IF(A733="","",DATE(YEAR(A733),MONTH(A733),1))</f>
        <v/>
      </c>
    </row>
    <row r="734" customFormat="false" ht="15" hidden="false" customHeight="false" outlineLevel="0" collapsed="false">
      <c r="A734" s="22"/>
      <c r="B734" s="23"/>
      <c r="C734" s="23"/>
      <c r="D734" s="24"/>
      <c r="E734" s="23"/>
      <c r="F734" s="15" t="str">
        <f aca="false">IF(B734="","",IFERROR(INDEX(Configurações!$B$7:$B$30,MATCH(B734,Configurações!$A$7:$A$30,0)),"?"))</f>
        <v/>
      </c>
      <c r="G734" s="25" t="str">
        <f aca="false">IF(A734="","",A734-WEEKDAY(A734,2)+1)</f>
        <v/>
      </c>
      <c r="H734" s="26" t="str">
        <f aca="false">IF(A734="","",DATE(YEAR(A734),MONTH(A734),1))</f>
        <v/>
      </c>
    </row>
    <row r="735" customFormat="false" ht="15" hidden="false" customHeight="false" outlineLevel="0" collapsed="false">
      <c r="A735" s="22"/>
      <c r="B735" s="23"/>
      <c r="C735" s="23"/>
      <c r="D735" s="24"/>
      <c r="E735" s="23"/>
      <c r="F735" s="15" t="str">
        <f aca="false">IF(B735="","",IFERROR(INDEX(Configurações!$B$7:$B$30,MATCH(B735,Configurações!$A$7:$A$30,0)),"?"))</f>
        <v/>
      </c>
      <c r="G735" s="25" t="str">
        <f aca="false">IF(A735="","",A735-WEEKDAY(A735,2)+1)</f>
        <v/>
      </c>
      <c r="H735" s="26" t="str">
        <f aca="false">IF(A735="","",DATE(YEAR(A735),MONTH(A735),1))</f>
        <v/>
      </c>
    </row>
    <row r="736" customFormat="false" ht="15" hidden="false" customHeight="false" outlineLevel="0" collapsed="false">
      <c r="A736" s="22"/>
      <c r="B736" s="23"/>
      <c r="C736" s="23"/>
      <c r="D736" s="24"/>
      <c r="E736" s="23"/>
      <c r="F736" s="15" t="str">
        <f aca="false">IF(B736="","",IFERROR(INDEX(Configurações!$B$7:$B$30,MATCH(B736,Configurações!$A$7:$A$30,0)),"?"))</f>
        <v/>
      </c>
      <c r="G736" s="25" t="str">
        <f aca="false">IF(A736="","",A736-WEEKDAY(A736,2)+1)</f>
        <v/>
      </c>
      <c r="H736" s="26" t="str">
        <f aca="false">IF(A736="","",DATE(YEAR(A736),MONTH(A736),1))</f>
        <v/>
      </c>
    </row>
    <row r="737" customFormat="false" ht="15" hidden="false" customHeight="false" outlineLevel="0" collapsed="false">
      <c r="A737" s="22"/>
      <c r="B737" s="23"/>
      <c r="C737" s="23"/>
      <c r="D737" s="24"/>
      <c r="E737" s="23"/>
      <c r="F737" s="15" t="str">
        <f aca="false">IF(B737="","",IFERROR(INDEX(Configurações!$B$7:$B$30,MATCH(B737,Configurações!$A$7:$A$30,0)),"?"))</f>
        <v/>
      </c>
      <c r="G737" s="25" t="str">
        <f aca="false">IF(A737="","",A737-WEEKDAY(A737,2)+1)</f>
        <v/>
      </c>
      <c r="H737" s="26" t="str">
        <f aca="false">IF(A737="","",DATE(YEAR(A737),MONTH(A737),1))</f>
        <v/>
      </c>
    </row>
    <row r="738" customFormat="false" ht="15" hidden="false" customHeight="false" outlineLevel="0" collapsed="false">
      <c r="A738" s="22"/>
      <c r="B738" s="23"/>
      <c r="C738" s="23"/>
      <c r="D738" s="24"/>
      <c r="E738" s="23"/>
      <c r="F738" s="15" t="str">
        <f aca="false">IF(B738="","",IFERROR(INDEX(Configurações!$B$7:$B$30,MATCH(B738,Configurações!$A$7:$A$30,0)),"?"))</f>
        <v/>
      </c>
      <c r="G738" s="25" t="str">
        <f aca="false">IF(A738="","",A738-WEEKDAY(A738,2)+1)</f>
        <v/>
      </c>
      <c r="H738" s="26" t="str">
        <f aca="false">IF(A738="","",DATE(YEAR(A738),MONTH(A738),1))</f>
        <v/>
      </c>
    </row>
    <row r="739" customFormat="false" ht="15" hidden="false" customHeight="false" outlineLevel="0" collapsed="false">
      <c r="A739" s="22"/>
      <c r="B739" s="23"/>
      <c r="C739" s="23"/>
      <c r="D739" s="24"/>
      <c r="E739" s="23"/>
      <c r="F739" s="15" t="str">
        <f aca="false">IF(B739="","",IFERROR(INDEX(Configurações!$B$7:$B$30,MATCH(B739,Configurações!$A$7:$A$30,0)),"?"))</f>
        <v/>
      </c>
      <c r="G739" s="25" t="str">
        <f aca="false">IF(A739="","",A739-WEEKDAY(A739,2)+1)</f>
        <v/>
      </c>
      <c r="H739" s="26" t="str">
        <f aca="false">IF(A739="","",DATE(YEAR(A739),MONTH(A739),1))</f>
        <v/>
      </c>
    </row>
    <row r="740" customFormat="false" ht="15" hidden="false" customHeight="false" outlineLevel="0" collapsed="false">
      <c r="A740" s="22"/>
      <c r="B740" s="23"/>
      <c r="C740" s="23"/>
      <c r="D740" s="24"/>
      <c r="E740" s="23"/>
      <c r="F740" s="15" t="str">
        <f aca="false">IF(B740="","",IFERROR(INDEX(Configurações!$B$7:$B$30,MATCH(B740,Configurações!$A$7:$A$30,0)),"?"))</f>
        <v/>
      </c>
      <c r="G740" s="25" t="str">
        <f aca="false">IF(A740="","",A740-WEEKDAY(A740,2)+1)</f>
        <v/>
      </c>
      <c r="H740" s="26" t="str">
        <f aca="false">IF(A740="","",DATE(YEAR(A740),MONTH(A740),1))</f>
        <v/>
      </c>
    </row>
    <row r="741" customFormat="false" ht="15" hidden="false" customHeight="false" outlineLevel="0" collapsed="false">
      <c r="A741" s="22"/>
      <c r="B741" s="23"/>
      <c r="C741" s="23"/>
      <c r="D741" s="24"/>
      <c r="E741" s="23"/>
      <c r="F741" s="15" t="str">
        <f aca="false">IF(B741="","",IFERROR(INDEX(Configurações!$B$7:$B$30,MATCH(B741,Configurações!$A$7:$A$30,0)),"?"))</f>
        <v/>
      </c>
      <c r="G741" s="25" t="str">
        <f aca="false">IF(A741="","",A741-WEEKDAY(A741,2)+1)</f>
        <v/>
      </c>
      <c r="H741" s="26" t="str">
        <f aca="false">IF(A741="","",DATE(YEAR(A741),MONTH(A741),1))</f>
        <v/>
      </c>
    </row>
    <row r="742" customFormat="false" ht="15" hidden="false" customHeight="false" outlineLevel="0" collapsed="false">
      <c r="A742" s="22"/>
      <c r="B742" s="23"/>
      <c r="C742" s="23"/>
      <c r="D742" s="24"/>
      <c r="E742" s="23"/>
      <c r="F742" s="15" t="str">
        <f aca="false">IF(B742="","",IFERROR(INDEX(Configurações!$B$7:$B$30,MATCH(B742,Configurações!$A$7:$A$30,0)),"?"))</f>
        <v/>
      </c>
      <c r="G742" s="25" t="str">
        <f aca="false">IF(A742="","",A742-WEEKDAY(A742,2)+1)</f>
        <v/>
      </c>
      <c r="H742" s="26" t="str">
        <f aca="false">IF(A742="","",DATE(YEAR(A742),MONTH(A742),1))</f>
        <v/>
      </c>
    </row>
    <row r="743" customFormat="false" ht="15" hidden="false" customHeight="false" outlineLevel="0" collapsed="false">
      <c r="A743" s="22"/>
      <c r="B743" s="23"/>
      <c r="C743" s="23"/>
      <c r="D743" s="24"/>
      <c r="E743" s="23"/>
      <c r="F743" s="15" t="str">
        <f aca="false">IF(B743="","",IFERROR(INDEX(Configurações!$B$7:$B$30,MATCH(B743,Configurações!$A$7:$A$30,0)),"?"))</f>
        <v/>
      </c>
      <c r="G743" s="25" t="str">
        <f aca="false">IF(A743="","",A743-WEEKDAY(A743,2)+1)</f>
        <v/>
      </c>
      <c r="H743" s="26" t="str">
        <f aca="false">IF(A743="","",DATE(YEAR(A743),MONTH(A743),1))</f>
        <v/>
      </c>
    </row>
    <row r="744" customFormat="false" ht="15" hidden="false" customHeight="false" outlineLevel="0" collapsed="false">
      <c r="A744" s="22"/>
      <c r="B744" s="23"/>
      <c r="C744" s="23"/>
      <c r="D744" s="24"/>
      <c r="E744" s="23"/>
      <c r="F744" s="15" t="str">
        <f aca="false">IF(B744="","",IFERROR(INDEX(Configurações!$B$7:$B$30,MATCH(B744,Configurações!$A$7:$A$30,0)),"?"))</f>
        <v/>
      </c>
      <c r="G744" s="25" t="str">
        <f aca="false">IF(A744="","",A744-WEEKDAY(A744,2)+1)</f>
        <v/>
      </c>
      <c r="H744" s="26" t="str">
        <f aca="false">IF(A744="","",DATE(YEAR(A744),MONTH(A744),1))</f>
        <v/>
      </c>
    </row>
    <row r="745" customFormat="false" ht="15" hidden="false" customHeight="false" outlineLevel="0" collapsed="false">
      <c r="A745" s="22"/>
      <c r="B745" s="23"/>
      <c r="C745" s="23"/>
      <c r="D745" s="24"/>
      <c r="E745" s="23"/>
      <c r="F745" s="15" t="str">
        <f aca="false">IF(B745="","",IFERROR(INDEX(Configurações!$B$7:$B$30,MATCH(B745,Configurações!$A$7:$A$30,0)),"?"))</f>
        <v/>
      </c>
      <c r="G745" s="25" t="str">
        <f aca="false">IF(A745="","",A745-WEEKDAY(A745,2)+1)</f>
        <v/>
      </c>
      <c r="H745" s="26" t="str">
        <f aca="false">IF(A745="","",DATE(YEAR(A745),MONTH(A745),1))</f>
        <v/>
      </c>
    </row>
    <row r="746" customFormat="false" ht="15" hidden="false" customHeight="false" outlineLevel="0" collapsed="false">
      <c r="A746" s="22"/>
      <c r="B746" s="23"/>
      <c r="C746" s="23"/>
      <c r="D746" s="24"/>
      <c r="E746" s="23"/>
      <c r="F746" s="15" t="str">
        <f aca="false">IF(B746="","",IFERROR(INDEX(Configurações!$B$7:$B$30,MATCH(B746,Configurações!$A$7:$A$30,0)),"?"))</f>
        <v/>
      </c>
      <c r="G746" s="25" t="str">
        <f aca="false">IF(A746="","",A746-WEEKDAY(A746,2)+1)</f>
        <v/>
      </c>
      <c r="H746" s="26" t="str">
        <f aca="false">IF(A746="","",DATE(YEAR(A746),MONTH(A746),1))</f>
        <v/>
      </c>
    </row>
    <row r="747" customFormat="false" ht="15" hidden="false" customHeight="false" outlineLevel="0" collapsed="false">
      <c r="A747" s="22"/>
      <c r="B747" s="23"/>
      <c r="C747" s="23"/>
      <c r="D747" s="24"/>
      <c r="E747" s="23"/>
      <c r="F747" s="15" t="str">
        <f aca="false">IF(B747="","",IFERROR(INDEX(Configurações!$B$7:$B$30,MATCH(B747,Configurações!$A$7:$A$30,0)),"?"))</f>
        <v/>
      </c>
      <c r="G747" s="25" t="str">
        <f aca="false">IF(A747="","",A747-WEEKDAY(A747,2)+1)</f>
        <v/>
      </c>
      <c r="H747" s="26" t="str">
        <f aca="false">IF(A747="","",DATE(YEAR(A747),MONTH(A747),1))</f>
        <v/>
      </c>
    </row>
    <row r="748" customFormat="false" ht="15" hidden="false" customHeight="false" outlineLevel="0" collapsed="false">
      <c r="A748" s="22"/>
      <c r="B748" s="23"/>
      <c r="C748" s="23"/>
      <c r="D748" s="24"/>
      <c r="E748" s="23"/>
      <c r="F748" s="15" t="str">
        <f aca="false">IF(B748="","",IFERROR(INDEX(Configurações!$B$7:$B$30,MATCH(B748,Configurações!$A$7:$A$30,0)),"?"))</f>
        <v/>
      </c>
      <c r="G748" s="25" t="str">
        <f aca="false">IF(A748="","",A748-WEEKDAY(A748,2)+1)</f>
        <v/>
      </c>
      <c r="H748" s="26" t="str">
        <f aca="false">IF(A748="","",DATE(YEAR(A748),MONTH(A748),1))</f>
        <v/>
      </c>
    </row>
    <row r="749" customFormat="false" ht="15" hidden="false" customHeight="false" outlineLevel="0" collapsed="false">
      <c r="A749" s="22"/>
      <c r="B749" s="23"/>
      <c r="C749" s="23"/>
      <c r="D749" s="24"/>
      <c r="E749" s="23"/>
      <c r="F749" s="15" t="str">
        <f aca="false">IF(B749="","",IFERROR(INDEX(Configurações!$B$7:$B$30,MATCH(B749,Configurações!$A$7:$A$30,0)),"?"))</f>
        <v/>
      </c>
      <c r="G749" s="25" t="str">
        <f aca="false">IF(A749="","",A749-WEEKDAY(A749,2)+1)</f>
        <v/>
      </c>
      <c r="H749" s="26" t="str">
        <f aca="false">IF(A749="","",DATE(YEAR(A749),MONTH(A749),1))</f>
        <v/>
      </c>
    </row>
    <row r="750" customFormat="false" ht="15" hidden="false" customHeight="false" outlineLevel="0" collapsed="false">
      <c r="A750" s="22"/>
      <c r="B750" s="23"/>
      <c r="C750" s="23"/>
      <c r="D750" s="24"/>
      <c r="E750" s="23"/>
      <c r="F750" s="15" t="str">
        <f aca="false">IF(B750="","",IFERROR(INDEX(Configurações!$B$7:$B$30,MATCH(B750,Configurações!$A$7:$A$30,0)),"?"))</f>
        <v/>
      </c>
      <c r="G750" s="25" t="str">
        <f aca="false">IF(A750="","",A750-WEEKDAY(A750,2)+1)</f>
        <v/>
      </c>
      <c r="H750" s="26" t="str">
        <f aca="false">IF(A750="","",DATE(YEAR(A750),MONTH(A750),1))</f>
        <v/>
      </c>
    </row>
    <row r="751" customFormat="false" ht="15" hidden="false" customHeight="false" outlineLevel="0" collapsed="false">
      <c r="A751" s="22"/>
      <c r="B751" s="23"/>
      <c r="C751" s="23"/>
      <c r="D751" s="24"/>
      <c r="E751" s="23"/>
      <c r="F751" s="15" t="str">
        <f aca="false">IF(B751="","",IFERROR(INDEX(Configurações!$B$7:$B$30,MATCH(B751,Configurações!$A$7:$A$30,0)),"?"))</f>
        <v/>
      </c>
      <c r="G751" s="25" t="str">
        <f aca="false">IF(A751="","",A751-WEEKDAY(A751,2)+1)</f>
        <v/>
      </c>
      <c r="H751" s="26" t="str">
        <f aca="false">IF(A751="","",DATE(YEAR(A751),MONTH(A751),1))</f>
        <v/>
      </c>
    </row>
    <row r="752" customFormat="false" ht="15" hidden="false" customHeight="false" outlineLevel="0" collapsed="false">
      <c r="A752" s="22"/>
      <c r="B752" s="23"/>
      <c r="C752" s="23"/>
      <c r="D752" s="24"/>
      <c r="E752" s="23"/>
      <c r="F752" s="15" t="str">
        <f aca="false">IF(B752="","",IFERROR(INDEX(Configurações!$B$7:$B$30,MATCH(B752,Configurações!$A$7:$A$30,0)),"?"))</f>
        <v/>
      </c>
      <c r="G752" s="25" t="str">
        <f aca="false">IF(A752="","",A752-WEEKDAY(A752,2)+1)</f>
        <v/>
      </c>
      <c r="H752" s="26" t="str">
        <f aca="false">IF(A752="","",DATE(YEAR(A752),MONTH(A752),1))</f>
        <v/>
      </c>
    </row>
    <row r="753" customFormat="false" ht="15" hidden="false" customHeight="false" outlineLevel="0" collapsed="false">
      <c r="A753" s="22"/>
      <c r="B753" s="23"/>
      <c r="C753" s="23"/>
      <c r="D753" s="24"/>
      <c r="E753" s="23"/>
      <c r="F753" s="15" t="str">
        <f aca="false">IF(B753="","",IFERROR(INDEX(Configurações!$B$7:$B$30,MATCH(B753,Configurações!$A$7:$A$30,0)),"?"))</f>
        <v/>
      </c>
      <c r="G753" s="25" t="str">
        <f aca="false">IF(A753="","",A753-WEEKDAY(A753,2)+1)</f>
        <v/>
      </c>
      <c r="H753" s="26" t="str">
        <f aca="false">IF(A753="","",DATE(YEAR(A753),MONTH(A753),1))</f>
        <v/>
      </c>
    </row>
    <row r="754" customFormat="false" ht="15" hidden="false" customHeight="false" outlineLevel="0" collapsed="false">
      <c r="A754" s="22"/>
      <c r="B754" s="23"/>
      <c r="C754" s="23"/>
      <c r="D754" s="24"/>
      <c r="E754" s="23"/>
      <c r="F754" s="15" t="str">
        <f aca="false">IF(B754="","",IFERROR(INDEX(Configurações!$B$7:$B$30,MATCH(B754,Configurações!$A$7:$A$30,0)),"?"))</f>
        <v/>
      </c>
      <c r="G754" s="25" t="str">
        <f aca="false">IF(A754="","",A754-WEEKDAY(A754,2)+1)</f>
        <v/>
      </c>
      <c r="H754" s="26" t="str">
        <f aca="false">IF(A754="","",DATE(YEAR(A754),MONTH(A754),1))</f>
        <v/>
      </c>
    </row>
    <row r="755" customFormat="false" ht="15" hidden="false" customHeight="false" outlineLevel="0" collapsed="false">
      <c r="A755" s="22"/>
      <c r="B755" s="23"/>
      <c r="C755" s="23"/>
      <c r="D755" s="24"/>
      <c r="E755" s="23"/>
      <c r="F755" s="15" t="str">
        <f aca="false">IF(B755="","",IFERROR(INDEX(Configurações!$B$7:$B$30,MATCH(B755,Configurações!$A$7:$A$30,0)),"?"))</f>
        <v/>
      </c>
      <c r="G755" s="25" t="str">
        <f aca="false">IF(A755="","",A755-WEEKDAY(A755,2)+1)</f>
        <v/>
      </c>
      <c r="H755" s="26" t="str">
        <f aca="false">IF(A755="","",DATE(YEAR(A755),MONTH(A755),1))</f>
        <v/>
      </c>
    </row>
    <row r="756" customFormat="false" ht="15" hidden="false" customHeight="false" outlineLevel="0" collapsed="false">
      <c r="A756" s="22"/>
      <c r="B756" s="23"/>
      <c r="C756" s="23"/>
      <c r="D756" s="24"/>
      <c r="E756" s="23"/>
      <c r="F756" s="15" t="str">
        <f aca="false">IF(B756="","",IFERROR(INDEX(Configurações!$B$7:$B$30,MATCH(B756,Configurações!$A$7:$A$30,0)),"?"))</f>
        <v/>
      </c>
      <c r="G756" s="25" t="str">
        <f aca="false">IF(A756="","",A756-WEEKDAY(A756,2)+1)</f>
        <v/>
      </c>
      <c r="H756" s="26" t="str">
        <f aca="false">IF(A756="","",DATE(YEAR(A756),MONTH(A756),1))</f>
        <v/>
      </c>
    </row>
    <row r="757" customFormat="false" ht="15" hidden="false" customHeight="false" outlineLevel="0" collapsed="false">
      <c r="A757" s="22"/>
      <c r="B757" s="23"/>
      <c r="C757" s="23"/>
      <c r="D757" s="24"/>
      <c r="E757" s="23"/>
      <c r="F757" s="15" t="str">
        <f aca="false">IF(B757="","",IFERROR(INDEX(Configurações!$B$7:$B$30,MATCH(B757,Configurações!$A$7:$A$30,0)),"?"))</f>
        <v/>
      </c>
      <c r="G757" s="25" t="str">
        <f aca="false">IF(A757="","",A757-WEEKDAY(A757,2)+1)</f>
        <v/>
      </c>
      <c r="H757" s="26" t="str">
        <f aca="false">IF(A757="","",DATE(YEAR(A757),MONTH(A757),1))</f>
        <v/>
      </c>
    </row>
    <row r="758" customFormat="false" ht="15" hidden="false" customHeight="false" outlineLevel="0" collapsed="false">
      <c r="A758" s="22"/>
      <c r="B758" s="23"/>
      <c r="C758" s="23"/>
      <c r="D758" s="24"/>
      <c r="E758" s="23"/>
      <c r="F758" s="15" t="str">
        <f aca="false">IF(B758="","",IFERROR(INDEX(Configurações!$B$7:$B$30,MATCH(B758,Configurações!$A$7:$A$30,0)),"?"))</f>
        <v/>
      </c>
      <c r="G758" s="25" t="str">
        <f aca="false">IF(A758="","",A758-WEEKDAY(A758,2)+1)</f>
        <v/>
      </c>
      <c r="H758" s="26" t="str">
        <f aca="false">IF(A758="","",DATE(YEAR(A758),MONTH(A758),1))</f>
        <v/>
      </c>
    </row>
    <row r="759" customFormat="false" ht="15" hidden="false" customHeight="false" outlineLevel="0" collapsed="false">
      <c r="A759" s="22"/>
      <c r="B759" s="23"/>
      <c r="C759" s="23"/>
      <c r="D759" s="24"/>
      <c r="E759" s="23"/>
      <c r="F759" s="15" t="str">
        <f aca="false">IF(B759="","",IFERROR(INDEX(Configurações!$B$7:$B$30,MATCH(B759,Configurações!$A$7:$A$30,0)),"?"))</f>
        <v/>
      </c>
      <c r="G759" s="25" t="str">
        <f aca="false">IF(A759="","",A759-WEEKDAY(A759,2)+1)</f>
        <v/>
      </c>
      <c r="H759" s="26" t="str">
        <f aca="false">IF(A759="","",DATE(YEAR(A759),MONTH(A759),1))</f>
        <v/>
      </c>
    </row>
    <row r="760" customFormat="false" ht="15" hidden="false" customHeight="false" outlineLevel="0" collapsed="false">
      <c r="A760" s="22"/>
      <c r="B760" s="23"/>
      <c r="C760" s="23"/>
      <c r="D760" s="24"/>
      <c r="E760" s="23"/>
      <c r="F760" s="15" t="str">
        <f aca="false">IF(B760="","",IFERROR(INDEX(Configurações!$B$7:$B$30,MATCH(B760,Configurações!$A$7:$A$30,0)),"?"))</f>
        <v/>
      </c>
      <c r="G760" s="25" t="str">
        <f aca="false">IF(A760="","",A760-WEEKDAY(A760,2)+1)</f>
        <v/>
      </c>
      <c r="H760" s="26" t="str">
        <f aca="false">IF(A760="","",DATE(YEAR(A760),MONTH(A760),1))</f>
        <v/>
      </c>
    </row>
    <row r="761" customFormat="false" ht="15" hidden="false" customHeight="false" outlineLevel="0" collapsed="false">
      <c r="A761" s="22"/>
      <c r="B761" s="23"/>
      <c r="C761" s="23"/>
      <c r="D761" s="24"/>
      <c r="E761" s="23"/>
      <c r="F761" s="15" t="str">
        <f aca="false">IF(B761="","",IFERROR(INDEX(Configurações!$B$7:$B$30,MATCH(B761,Configurações!$A$7:$A$30,0)),"?"))</f>
        <v/>
      </c>
      <c r="G761" s="25" t="str">
        <f aca="false">IF(A761="","",A761-WEEKDAY(A761,2)+1)</f>
        <v/>
      </c>
      <c r="H761" s="26" t="str">
        <f aca="false">IF(A761="","",DATE(YEAR(A761),MONTH(A761),1))</f>
        <v/>
      </c>
    </row>
    <row r="762" customFormat="false" ht="15" hidden="false" customHeight="false" outlineLevel="0" collapsed="false">
      <c r="A762" s="22"/>
      <c r="B762" s="23"/>
      <c r="C762" s="23"/>
      <c r="D762" s="24"/>
      <c r="E762" s="23"/>
      <c r="F762" s="15" t="str">
        <f aca="false">IF(B762="","",IFERROR(INDEX(Configurações!$B$7:$B$30,MATCH(B762,Configurações!$A$7:$A$30,0)),"?"))</f>
        <v/>
      </c>
      <c r="G762" s="25" t="str">
        <f aca="false">IF(A762="","",A762-WEEKDAY(A762,2)+1)</f>
        <v/>
      </c>
      <c r="H762" s="26" t="str">
        <f aca="false">IF(A762="","",DATE(YEAR(A762),MONTH(A762),1))</f>
        <v/>
      </c>
    </row>
    <row r="763" customFormat="false" ht="15" hidden="false" customHeight="false" outlineLevel="0" collapsed="false">
      <c r="A763" s="22"/>
      <c r="B763" s="23"/>
      <c r="C763" s="23"/>
      <c r="D763" s="24"/>
      <c r="E763" s="23"/>
      <c r="F763" s="15" t="str">
        <f aca="false">IF(B763="","",IFERROR(INDEX(Configurações!$B$7:$B$30,MATCH(B763,Configurações!$A$7:$A$30,0)),"?"))</f>
        <v/>
      </c>
      <c r="G763" s="25" t="str">
        <f aca="false">IF(A763="","",A763-WEEKDAY(A763,2)+1)</f>
        <v/>
      </c>
      <c r="H763" s="26" t="str">
        <f aca="false">IF(A763="","",DATE(YEAR(A763),MONTH(A763),1))</f>
        <v/>
      </c>
    </row>
    <row r="764" customFormat="false" ht="15" hidden="false" customHeight="false" outlineLevel="0" collapsed="false">
      <c r="A764" s="22"/>
      <c r="B764" s="23"/>
      <c r="C764" s="23"/>
      <c r="D764" s="24"/>
      <c r="E764" s="23"/>
      <c r="F764" s="15" t="str">
        <f aca="false">IF(B764="","",IFERROR(INDEX(Configurações!$B$7:$B$30,MATCH(B764,Configurações!$A$7:$A$30,0)),"?"))</f>
        <v/>
      </c>
      <c r="G764" s="25" t="str">
        <f aca="false">IF(A764="","",A764-WEEKDAY(A764,2)+1)</f>
        <v/>
      </c>
      <c r="H764" s="26" t="str">
        <f aca="false">IF(A764="","",DATE(YEAR(A764),MONTH(A764),1))</f>
        <v/>
      </c>
    </row>
    <row r="765" customFormat="false" ht="15" hidden="false" customHeight="false" outlineLevel="0" collapsed="false">
      <c r="A765" s="22"/>
      <c r="B765" s="23"/>
      <c r="C765" s="23"/>
      <c r="D765" s="24"/>
      <c r="E765" s="23"/>
      <c r="F765" s="15" t="str">
        <f aca="false">IF(B765="","",IFERROR(INDEX(Configurações!$B$7:$B$30,MATCH(B765,Configurações!$A$7:$A$30,0)),"?"))</f>
        <v/>
      </c>
      <c r="G765" s="25" t="str">
        <f aca="false">IF(A765="","",A765-WEEKDAY(A765,2)+1)</f>
        <v/>
      </c>
      <c r="H765" s="26" t="str">
        <f aca="false">IF(A765="","",DATE(YEAR(A765),MONTH(A765),1))</f>
        <v/>
      </c>
    </row>
    <row r="766" customFormat="false" ht="15" hidden="false" customHeight="false" outlineLevel="0" collapsed="false">
      <c r="A766" s="22"/>
      <c r="B766" s="23"/>
      <c r="C766" s="23"/>
      <c r="D766" s="24"/>
      <c r="E766" s="23"/>
      <c r="F766" s="15" t="str">
        <f aca="false">IF(B766="","",IFERROR(INDEX(Configurações!$B$7:$B$30,MATCH(B766,Configurações!$A$7:$A$30,0)),"?"))</f>
        <v/>
      </c>
      <c r="G766" s="25" t="str">
        <f aca="false">IF(A766="","",A766-WEEKDAY(A766,2)+1)</f>
        <v/>
      </c>
      <c r="H766" s="26" t="str">
        <f aca="false">IF(A766="","",DATE(YEAR(A766),MONTH(A766),1))</f>
        <v/>
      </c>
    </row>
    <row r="767" customFormat="false" ht="15" hidden="false" customHeight="false" outlineLevel="0" collapsed="false">
      <c r="A767" s="22"/>
      <c r="B767" s="23"/>
      <c r="C767" s="23"/>
      <c r="D767" s="24"/>
      <c r="E767" s="23"/>
      <c r="F767" s="15" t="str">
        <f aca="false">IF(B767="","",IFERROR(INDEX(Configurações!$B$7:$B$30,MATCH(B767,Configurações!$A$7:$A$30,0)),"?"))</f>
        <v/>
      </c>
      <c r="G767" s="25" t="str">
        <f aca="false">IF(A767="","",A767-WEEKDAY(A767,2)+1)</f>
        <v/>
      </c>
      <c r="H767" s="26" t="str">
        <f aca="false">IF(A767="","",DATE(YEAR(A767),MONTH(A767),1))</f>
        <v/>
      </c>
    </row>
    <row r="768" customFormat="false" ht="15" hidden="false" customHeight="false" outlineLevel="0" collapsed="false">
      <c r="A768" s="22"/>
      <c r="B768" s="23"/>
      <c r="C768" s="23"/>
      <c r="D768" s="24"/>
      <c r="E768" s="23"/>
      <c r="F768" s="15" t="str">
        <f aca="false">IF(B768="","",IFERROR(INDEX(Configurações!$B$7:$B$30,MATCH(B768,Configurações!$A$7:$A$30,0)),"?"))</f>
        <v/>
      </c>
      <c r="G768" s="25" t="str">
        <f aca="false">IF(A768="","",A768-WEEKDAY(A768,2)+1)</f>
        <v/>
      </c>
      <c r="H768" s="26" t="str">
        <f aca="false">IF(A768="","",DATE(YEAR(A768),MONTH(A768),1))</f>
        <v/>
      </c>
    </row>
    <row r="769" customFormat="false" ht="15" hidden="false" customHeight="false" outlineLevel="0" collapsed="false">
      <c r="A769" s="22"/>
      <c r="B769" s="23"/>
      <c r="C769" s="23"/>
      <c r="D769" s="24"/>
      <c r="E769" s="23"/>
      <c r="F769" s="15" t="str">
        <f aca="false">IF(B769="","",IFERROR(INDEX(Configurações!$B$7:$B$30,MATCH(B769,Configurações!$A$7:$A$30,0)),"?"))</f>
        <v/>
      </c>
      <c r="G769" s="25" t="str">
        <f aca="false">IF(A769="","",A769-WEEKDAY(A769,2)+1)</f>
        <v/>
      </c>
      <c r="H769" s="26" t="str">
        <f aca="false">IF(A769="","",DATE(YEAR(A769),MONTH(A769),1))</f>
        <v/>
      </c>
    </row>
    <row r="770" customFormat="false" ht="15" hidden="false" customHeight="false" outlineLevel="0" collapsed="false">
      <c r="A770" s="22"/>
      <c r="B770" s="23"/>
      <c r="C770" s="23"/>
      <c r="D770" s="24"/>
      <c r="E770" s="23"/>
      <c r="F770" s="15" t="str">
        <f aca="false">IF(B770="","",IFERROR(INDEX(Configurações!$B$7:$B$30,MATCH(B770,Configurações!$A$7:$A$30,0)),"?"))</f>
        <v/>
      </c>
      <c r="G770" s="25" t="str">
        <f aca="false">IF(A770="","",A770-WEEKDAY(A770,2)+1)</f>
        <v/>
      </c>
      <c r="H770" s="26" t="str">
        <f aca="false">IF(A770="","",DATE(YEAR(A770),MONTH(A770),1))</f>
        <v/>
      </c>
    </row>
    <row r="771" customFormat="false" ht="15" hidden="false" customHeight="false" outlineLevel="0" collapsed="false">
      <c r="A771" s="22"/>
      <c r="B771" s="23"/>
      <c r="C771" s="23"/>
      <c r="D771" s="24"/>
      <c r="E771" s="23"/>
      <c r="F771" s="15" t="str">
        <f aca="false">IF(B771="","",IFERROR(INDEX(Configurações!$B$7:$B$30,MATCH(B771,Configurações!$A$7:$A$30,0)),"?"))</f>
        <v/>
      </c>
      <c r="G771" s="25" t="str">
        <f aca="false">IF(A771="","",A771-WEEKDAY(A771,2)+1)</f>
        <v/>
      </c>
      <c r="H771" s="26" t="str">
        <f aca="false">IF(A771="","",DATE(YEAR(A771),MONTH(A771),1))</f>
        <v/>
      </c>
    </row>
    <row r="772" customFormat="false" ht="15" hidden="false" customHeight="false" outlineLevel="0" collapsed="false">
      <c r="A772" s="22"/>
      <c r="B772" s="23"/>
      <c r="C772" s="23"/>
      <c r="D772" s="24"/>
      <c r="E772" s="23"/>
      <c r="F772" s="15" t="str">
        <f aca="false">IF(B772="","",IFERROR(INDEX(Configurações!$B$7:$B$30,MATCH(B772,Configurações!$A$7:$A$30,0)),"?"))</f>
        <v/>
      </c>
      <c r="G772" s="25" t="str">
        <f aca="false">IF(A772="","",A772-WEEKDAY(A772,2)+1)</f>
        <v/>
      </c>
      <c r="H772" s="26" t="str">
        <f aca="false">IF(A772="","",DATE(YEAR(A772),MONTH(A772),1))</f>
        <v/>
      </c>
    </row>
    <row r="773" customFormat="false" ht="15" hidden="false" customHeight="false" outlineLevel="0" collapsed="false">
      <c r="A773" s="22"/>
      <c r="B773" s="23"/>
      <c r="C773" s="23"/>
      <c r="D773" s="24"/>
      <c r="E773" s="23"/>
      <c r="F773" s="15" t="str">
        <f aca="false">IF(B773="","",IFERROR(INDEX(Configurações!$B$7:$B$30,MATCH(B773,Configurações!$A$7:$A$30,0)),"?"))</f>
        <v/>
      </c>
      <c r="G773" s="25" t="str">
        <f aca="false">IF(A773="","",A773-WEEKDAY(A773,2)+1)</f>
        <v/>
      </c>
      <c r="H773" s="26" t="str">
        <f aca="false">IF(A773="","",DATE(YEAR(A773),MONTH(A773),1))</f>
        <v/>
      </c>
    </row>
    <row r="774" customFormat="false" ht="15" hidden="false" customHeight="false" outlineLevel="0" collapsed="false">
      <c r="A774" s="22"/>
      <c r="B774" s="23"/>
      <c r="C774" s="23"/>
      <c r="D774" s="24"/>
      <c r="E774" s="23"/>
      <c r="F774" s="15" t="str">
        <f aca="false">IF(B774="","",IFERROR(INDEX(Configurações!$B$7:$B$30,MATCH(B774,Configurações!$A$7:$A$30,0)),"?"))</f>
        <v/>
      </c>
      <c r="G774" s="25" t="str">
        <f aca="false">IF(A774="","",A774-WEEKDAY(A774,2)+1)</f>
        <v/>
      </c>
      <c r="H774" s="26" t="str">
        <f aca="false">IF(A774="","",DATE(YEAR(A774),MONTH(A774),1))</f>
        <v/>
      </c>
    </row>
    <row r="775" customFormat="false" ht="15" hidden="false" customHeight="false" outlineLevel="0" collapsed="false">
      <c r="A775" s="22"/>
      <c r="B775" s="23"/>
      <c r="C775" s="23"/>
      <c r="D775" s="24"/>
      <c r="E775" s="23"/>
      <c r="F775" s="15" t="str">
        <f aca="false">IF(B775="","",IFERROR(INDEX(Configurações!$B$7:$B$30,MATCH(B775,Configurações!$A$7:$A$30,0)),"?"))</f>
        <v/>
      </c>
      <c r="G775" s="25" t="str">
        <f aca="false">IF(A775="","",A775-WEEKDAY(A775,2)+1)</f>
        <v/>
      </c>
      <c r="H775" s="26" t="str">
        <f aca="false">IF(A775="","",DATE(YEAR(A775),MONTH(A775),1))</f>
        <v/>
      </c>
    </row>
    <row r="776" customFormat="false" ht="15" hidden="false" customHeight="false" outlineLevel="0" collapsed="false">
      <c r="A776" s="22"/>
      <c r="B776" s="23"/>
      <c r="C776" s="23"/>
      <c r="D776" s="24"/>
      <c r="E776" s="23"/>
      <c r="F776" s="15" t="str">
        <f aca="false">IF(B776="","",IFERROR(INDEX(Configurações!$B$7:$B$30,MATCH(B776,Configurações!$A$7:$A$30,0)),"?"))</f>
        <v/>
      </c>
      <c r="G776" s="25" t="str">
        <f aca="false">IF(A776="","",A776-WEEKDAY(A776,2)+1)</f>
        <v/>
      </c>
      <c r="H776" s="26" t="str">
        <f aca="false">IF(A776="","",DATE(YEAR(A776),MONTH(A776),1))</f>
        <v/>
      </c>
    </row>
    <row r="777" customFormat="false" ht="15" hidden="false" customHeight="false" outlineLevel="0" collapsed="false">
      <c r="A777" s="22"/>
      <c r="B777" s="23"/>
      <c r="C777" s="23"/>
      <c r="D777" s="24"/>
      <c r="E777" s="23"/>
      <c r="F777" s="15" t="str">
        <f aca="false">IF(B777="","",IFERROR(INDEX(Configurações!$B$7:$B$30,MATCH(B777,Configurações!$A$7:$A$30,0)),"?"))</f>
        <v/>
      </c>
      <c r="G777" s="25" t="str">
        <f aca="false">IF(A777="","",A777-WEEKDAY(A777,2)+1)</f>
        <v/>
      </c>
      <c r="H777" s="26" t="str">
        <f aca="false">IF(A777="","",DATE(YEAR(A777),MONTH(A777),1))</f>
        <v/>
      </c>
    </row>
    <row r="778" customFormat="false" ht="15" hidden="false" customHeight="false" outlineLevel="0" collapsed="false">
      <c r="A778" s="22"/>
      <c r="B778" s="23"/>
      <c r="C778" s="23"/>
      <c r="D778" s="24"/>
      <c r="E778" s="23"/>
      <c r="F778" s="15" t="str">
        <f aca="false">IF(B778="","",IFERROR(INDEX(Configurações!$B$7:$B$30,MATCH(B778,Configurações!$A$7:$A$30,0)),"?"))</f>
        <v/>
      </c>
      <c r="G778" s="25" t="str">
        <f aca="false">IF(A778="","",A778-WEEKDAY(A778,2)+1)</f>
        <v/>
      </c>
      <c r="H778" s="26" t="str">
        <f aca="false">IF(A778="","",DATE(YEAR(A778),MONTH(A778),1))</f>
        <v/>
      </c>
    </row>
    <row r="779" customFormat="false" ht="15" hidden="false" customHeight="false" outlineLevel="0" collapsed="false">
      <c r="A779" s="22"/>
      <c r="B779" s="23"/>
      <c r="C779" s="23"/>
      <c r="D779" s="24"/>
      <c r="E779" s="23"/>
      <c r="F779" s="15" t="str">
        <f aca="false">IF(B779="","",IFERROR(INDEX(Configurações!$B$7:$B$30,MATCH(B779,Configurações!$A$7:$A$30,0)),"?"))</f>
        <v/>
      </c>
      <c r="G779" s="25" t="str">
        <f aca="false">IF(A779="","",A779-WEEKDAY(A779,2)+1)</f>
        <v/>
      </c>
      <c r="H779" s="26" t="str">
        <f aca="false">IF(A779="","",DATE(YEAR(A779),MONTH(A779),1))</f>
        <v/>
      </c>
    </row>
    <row r="780" customFormat="false" ht="15" hidden="false" customHeight="false" outlineLevel="0" collapsed="false">
      <c r="A780" s="22"/>
      <c r="B780" s="23"/>
      <c r="C780" s="23"/>
      <c r="D780" s="24"/>
      <c r="E780" s="23"/>
      <c r="F780" s="15" t="str">
        <f aca="false">IF(B780="","",IFERROR(INDEX(Configurações!$B$7:$B$30,MATCH(B780,Configurações!$A$7:$A$30,0)),"?"))</f>
        <v/>
      </c>
      <c r="G780" s="25" t="str">
        <f aca="false">IF(A780="","",A780-WEEKDAY(A780,2)+1)</f>
        <v/>
      </c>
      <c r="H780" s="26" t="str">
        <f aca="false">IF(A780="","",DATE(YEAR(A780),MONTH(A780),1))</f>
        <v/>
      </c>
    </row>
    <row r="781" customFormat="false" ht="15" hidden="false" customHeight="false" outlineLevel="0" collapsed="false">
      <c r="A781" s="22"/>
      <c r="B781" s="23"/>
      <c r="C781" s="23"/>
      <c r="D781" s="24"/>
      <c r="E781" s="23"/>
      <c r="F781" s="15" t="str">
        <f aca="false">IF(B781="","",IFERROR(INDEX(Configurações!$B$7:$B$30,MATCH(B781,Configurações!$A$7:$A$30,0)),"?"))</f>
        <v/>
      </c>
      <c r="G781" s="25" t="str">
        <f aca="false">IF(A781="","",A781-WEEKDAY(A781,2)+1)</f>
        <v/>
      </c>
      <c r="H781" s="26" t="str">
        <f aca="false">IF(A781="","",DATE(YEAR(A781),MONTH(A781),1))</f>
        <v/>
      </c>
    </row>
    <row r="782" customFormat="false" ht="15" hidden="false" customHeight="false" outlineLevel="0" collapsed="false">
      <c r="A782" s="22"/>
      <c r="B782" s="23"/>
      <c r="C782" s="23"/>
      <c r="D782" s="24"/>
      <c r="E782" s="23"/>
      <c r="F782" s="15" t="str">
        <f aca="false">IF(B782="","",IFERROR(INDEX(Configurações!$B$7:$B$30,MATCH(B782,Configurações!$A$7:$A$30,0)),"?"))</f>
        <v/>
      </c>
      <c r="G782" s="25" t="str">
        <f aca="false">IF(A782="","",A782-WEEKDAY(A782,2)+1)</f>
        <v/>
      </c>
      <c r="H782" s="26" t="str">
        <f aca="false">IF(A782="","",DATE(YEAR(A782),MONTH(A782),1))</f>
        <v/>
      </c>
    </row>
    <row r="783" customFormat="false" ht="15" hidden="false" customHeight="false" outlineLevel="0" collapsed="false">
      <c r="A783" s="22"/>
      <c r="B783" s="23"/>
      <c r="C783" s="23"/>
      <c r="D783" s="24"/>
      <c r="E783" s="23"/>
      <c r="F783" s="15" t="str">
        <f aca="false">IF(B783="","",IFERROR(INDEX(Configurações!$B$7:$B$30,MATCH(B783,Configurações!$A$7:$A$30,0)),"?"))</f>
        <v/>
      </c>
      <c r="G783" s="25" t="str">
        <f aca="false">IF(A783="","",A783-WEEKDAY(A783,2)+1)</f>
        <v/>
      </c>
      <c r="H783" s="26" t="str">
        <f aca="false">IF(A783="","",DATE(YEAR(A783),MONTH(A783),1))</f>
        <v/>
      </c>
    </row>
    <row r="784" customFormat="false" ht="15" hidden="false" customHeight="false" outlineLevel="0" collapsed="false">
      <c r="A784" s="22"/>
      <c r="B784" s="23"/>
      <c r="C784" s="23"/>
      <c r="D784" s="24"/>
      <c r="E784" s="23"/>
      <c r="F784" s="15" t="str">
        <f aca="false">IF(B784="","",IFERROR(INDEX(Configurações!$B$7:$B$30,MATCH(B784,Configurações!$A$7:$A$30,0)),"?"))</f>
        <v/>
      </c>
      <c r="G784" s="25" t="str">
        <f aca="false">IF(A784="","",A784-WEEKDAY(A784,2)+1)</f>
        <v/>
      </c>
      <c r="H784" s="26" t="str">
        <f aca="false">IF(A784="","",DATE(YEAR(A784),MONTH(A784),1))</f>
        <v/>
      </c>
    </row>
    <row r="785" customFormat="false" ht="15" hidden="false" customHeight="false" outlineLevel="0" collapsed="false">
      <c r="A785" s="22"/>
      <c r="B785" s="23"/>
      <c r="C785" s="23"/>
      <c r="D785" s="24"/>
      <c r="E785" s="23"/>
      <c r="F785" s="15" t="str">
        <f aca="false">IF(B785="","",IFERROR(INDEX(Configurações!$B$7:$B$30,MATCH(B785,Configurações!$A$7:$A$30,0)),"?"))</f>
        <v/>
      </c>
      <c r="G785" s="25" t="str">
        <f aca="false">IF(A785="","",A785-WEEKDAY(A785,2)+1)</f>
        <v/>
      </c>
      <c r="H785" s="26" t="str">
        <f aca="false">IF(A785="","",DATE(YEAR(A785),MONTH(A785),1))</f>
        <v/>
      </c>
    </row>
    <row r="786" customFormat="false" ht="15" hidden="false" customHeight="false" outlineLevel="0" collapsed="false">
      <c r="A786" s="22"/>
      <c r="B786" s="23"/>
      <c r="C786" s="23"/>
      <c r="D786" s="24"/>
      <c r="E786" s="23"/>
      <c r="F786" s="15" t="str">
        <f aca="false">IF(B786="","",IFERROR(INDEX(Configurações!$B$7:$B$30,MATCH(B786,Configurações!$A$7:$A$30,0)),"?"))</f>
        <v/>
      </c>
      <c r="G786" s="25" t="str">
        <f aca="false">IF(A786="","",A786-WEEKDAY(A786,2)+1)</f>
        <v/>
      </c>
      <c r="H786" s="26" t="str">
        <f aca="false">IF(A786="","",DATE(YEAR(A786),MONTH(A786),1))</f>
        <v/>
      </c>
    </row>
    <row r="787" customFormat="false" ht="15" hidden="false" customHeight="false" outlineLevel="0" collapsed="false">
      <c r="A787" s="22"/>
      <c r="B787" s="23"/>
      <c r="C787" s="23"/>
      <c r="D787" s="24"/>
      <c r="E787" s="23"/>
      <c r="F787" s="15" t="str">
        <f aca="false">IF(B787="","",IFERROR(INDEX(Configurações!$B$7:$B$30,MATCH(B787,Configurações!$A$7:$A$30,0)),"?"))</f>
        <v/>
      </c>
      <c r="G787" s="25" t="str">
        <f aca="false">IF(A787="","",A787-WEEKDAY(A787,2)+1)</f>
        <v/>
      </c>
      <c r="H787" s="26" t="str">
        <f aca="false">IF(A787="","",DATE(YEAR(A787),MONTH(A787),1))</f>
        <v/>
      </c>
    </row>
    <row r="788" customFormat="false" ht="15" hidden="false" customHeight="false" outlineLevel="0" collapsed="false">
      <c r="A788" s="22"/>
      <c r="B788" s="23"/>
      <c r="C788" s="23"/>
      <c r="D788" s="24"/>
      <c r="E788" s="23"/>
      <c r="F788" s="15" t="str">
        <f aca="false">IF(B788="","",IFERROR(INDEX(Configurações!$B$7:$B$30,MATCH(B788,Configurações!$A$7:$A$30,0)),"?"))</f>
        <v/>
      </c>
      <c r="G788" s="25" t="str">
        <f aca="false">IF(A788="","",A788-WEEKDAY(A788,2)+1)</f>
        <v/>
      </c>
      <c r="H788" s="26" t="str">
        <f aca="false">IF(A788="","",DATE(YEAR(A788),MONTH(A788),1))</f>
        <v/>
      </c>
    </row>
    <row r="789" customFormat="false" ht="15" hidden="false" customHeight="false" outlineLevel="0" collapsed="false">
      <c r="A789" s="22"/>
      <c r="B789" s="23"/>
      <c r="C789" s="23"/>
      <c r="D789" s="24"/>
      <c r="E789" s="23"/>
      <c r="F789" s="15" t="str">
        <f aca="false">IF(B789="","",IFERROR(INDEX(Configurações!$B$7:$B$30,MATCH(B789,Configurações!$A$7:$A$30,0)),"?"))</f>
        <v/>
      </c>
      <c r="G789" s="25" t="str">
        <f aca="false">IF(A789="","",A789-WEEKDAY(A789,2)+1)</f>
        <v/>
      </c>
      <c r="H789" s="26" t="str">
        <f aca="false">IF(A789="","",DATE(YEAR(A789),MONTH(A789),1))</f>
        <v/>
      </c>
    </row>
    <row r="790" customFormat="false" ht="15" hidden="false" customHeight="false" outlineLevel="0" collapsed="false">
      <c r="A790" s="22"/>
      <c r="B790" s="23"/>
      <c r="C790" s="23"/>
      <c r="D790" s="24"/>
      <c r="E790" s="23"/>
      <c r="F790" s="15" t="str">
        <f aca="false">IF(B790="","",IFERROR(INDEX(Configurações!$B$7:$B$30,MATCH(B790,Configurações!$A$7:$A$30,0)),"?"))</f>
        <v/>
      </c>
      <c r="G790" s="25" t="str">
        <f aca="false">IF(A790="","",A790-WEEKDAY(A790,2)+1)</f>
        <v/>
      </c>
      <c r="H790" s="26" t="str">
        <f aca="false">IF(A790="","",DATE(YEAR(A790),MONTH(A790),1))</f>
        <v/>
      </c>
    </row>
    <row r="791" customFormat="false" ht="15" hidden="false" customHeight="false" outlineLevel="0" collapsed="false">
      <c r="A791" s="22"/>
      <c r="B791" s="23"/>
      <c r="C791" s="23"/>
      <c r="D791" s="24"/>
      <c r="E791" s="23"/>
      <c r="F791" s="15" t="str">
        <f aca="false">IF(B791="","",IFERROR(INDEX(Configurações!$B$7:$B$30,MATCH(B791,Configurações!$A$7:$A$30,0)),"?"))</f>
        <v/>
      </c>
      <c r="G791" s="25" t="str">
        <f aca="false">IF(A791="","",A791-WEEKDAY(A791,2)+1)</f>
        <v/>
      </c>
      <c r="H791" s="26" t="str">
        <f aca="false">IF(A791="","",DATE(YEAR(A791),MONTH(A791),1))</f>
        <v/>
      </c>
    </row>
    <row r="792" customFormat="false" ht="15" hidden="false" customHeight="false" outlineLevel="0" collapsed="false">
      <c r="A792" s="22"/>
      <c r="B792" s="23"/>
      <c r="C792" s="23"/>
      <c r="D792" s="24"/>
      <c r="E792" s="23"/>
      <c r="F792" s="15" t="str">
        <f aca="false">IF(B792="","",IFERROR(INDEX(Configurações!$B$7:$B$30,MATCH(B792,Configurações!$A$7:$A$30,0)),"?"))</f>
        <v/>
      </c>
      <c r="G792" s="25" t="str">
        <f aca="false">IF(A792="","",A792-WEEKDAY(A792,2)+1)</f>
        <v/>
      </c>
      <c r="H792" s="26" t="str">
        <f aca="false">IF(A792="","",DATE(YEAR(A792),MONTH(A792),1))</f>
        <v/>
      </c>
    </row>
    <row r="793" customFormat="false" ht="15" hidden="false" customHeight="false" outlineLevel="0" collapsed="false">
      <c r="A793" s="22"/>
      <c r="B793" s="23"/>
      <c r="C793" s="23"/>
      <c r="D793" s="24"/>
      <c r="E793" s="23"/>
      <c r="F793" s="15" t="str">
        <f aca="false">IF(B793="","",IFERROR(INDEX(Configurações!$B$7:$B$30,MATCH(B793,Configurações!$A$7:$A$30,0)),"?"))</f>
        <v/>
      </c>
      <c r="G793" s="25" t="str">
        <f aca="false">IF(A793="","",A793-WEEKDAY(A793,2)+1)</f>
        <v/>
      </c>
      <c r="H793" s="26" t="str">
        <f aca="false">IF(A793="","",DATE(YEAR(A793),MONTH(A793),1))</f>
        <v/>
      </c>
    </row>
    <row r="794" customFormat="false" ht="15" hidden="false" customHeight="false" outlineLevel="0" collapsed="false">
      <c r="A794" s="22"/>
      <c r="B794" s="23"/>
      <c r="C794" s="23"/>
      <c r="D794" s="24"/>
      <c r="E794" s="23"/>
      <c r="F794" s="15" t="str">
        <f aca="false">IF(B794="","",IFERROR(INDEX(Configurações!$B$7:$B$30,MATCH(B794,Configurações!$A$7:$A$30,0)),"?"))</f>
        <v/>
      </c>
      <c r="G794" s="25" t="str">
        <f aca="false">IF(A794="","",A794-WEEKDAY(A794,2)+1)</f>
        <v/>
      </c>
      <c r="H794" s="26" t="str">
        <f aca="false">IF(A794="","",DATE(YEAR(A794),MONTH(A794),1))</f>
        <v/>
      </c>
    </row>
    <row r="795" customFormat="false" ht="15" hidden="false" customHeight="false" outlineLevel="0" collapsed="false">
      <c r="A795" s="22"/>
      <c r="B795" s="23"/>
      <c r="C795" s="23"/>
      <c r="D795" s="24"/>
      <c r="E795" s="23"/>
      <c r="F795" s="15" t="str">
        <f aca="false">IF(B795="","",IFERROR(INDEX(Configurações!$B$7:$B$30,MATCH(B795,Configurações!$A$7:$A$30,0)),"?"))</f>
        <v/>
      </c>
      <c r="G795" s="25" t="str">
        <f aca="false">IF(A795="","",A795-WEEKDAY(A795,2)+1)</f>
        <v/>
      </c>
      <c r="H795" s="26" t="str">
        <f aca="false">IF(A795="","",DATE(YEAR(A795),MONTH(A795),1))</f>
        <v/>
      </c>
    </row>
    <row r="796" customFormat="false" ht="15" hidden="false" customHeight="false" outlineLevel="0" collapsed="false">
      <c r="A796" s="22"/>
      <c r="B796" s="23"/>
      <c r="C796" s="23"/>
      <c r="D796" s="24"/>
      <c r="E796" s="23"/>
      <c r="F796" s="15" t="str">
        <f aca="false">IF(B796="","",IFERROR(INDEX(Configurações!$B$7:$B$30,MATCH(B796,Configurações!$A$7:$A$30,0)),"?"))</f>
        <v/>
      </c>
      <c r="G796" s="25" t="str">
        <f aca="false">IF(A796="","",A796-WEEKDAY(A796,2)+1)</f>
        <v/>
      </c>
      <c r="H796" s="26" t="str">
        <f aca="false">IF(A796="","",DATE(YEAR(A796),MONTH(A796),1))</f>
        <v/>
      </c>
    </row>
    <row r="797" customFormat="false" ht="15" hidden="false" customHeight="false" outlineLevel="0" collapsed="false">
      <c r="A797" s="22"/>
      <c r="B797" s="23"/>
      <c r="C797" s="23"/>
      <c r="D797" s="24"/>
      <c r="E797" s="23"/>
      <c r="F797" s="15" t="str">
        <f aca="false">IF(B797="","",IFERROR(INDEX(Configurações!$B$7:$B$30,MATCH(B797,Configurações!$A$7:$A$30,0)),"?"))</f>
        <v/>
      </c>
      <c r="G797" s="25" t="str">
        <f aca="false">IF(A797="","",A797-WEEKDAY(A797,2)+1)</f>
        <v/>
      </c>
      <c r="H797" s="26" t="str">
        <f aca="false">IF(A797="","",DATE(YEAR(A797),MONTH(A797),1))</f>
        <v/>
      </c>
    </row>
    <row r="798" customFormat="false" ht="15" hidden="false" customHeight="false" outlineLevel="0" collapsed="false">
      <c r="A798" s="22"/>
      <c r="B798" s="23"/>
      <c r="C798" s="23"/>
      <c r="D798" s="24"/>
      <c r="E798" s="23"/>
      <c r="F798" s="15" t="str">
        <f aca="false">IF(B798="","",IFERROR(INDEX(Configurações!$B$7:$B$30,MATCH(B798,Configurações!$A$7:$A$30,0)),"?"))</f>
        <v/>
      </c>
      <c r="G798" s="25" t="str">
        <f aca="false">IF(A798="","",A798-WEEKDAY(A798,2)+1)</f>
        <v/>
      </c>
      <c r="H798" s="26" t="str">
        <f aca="false">IF(A798="","",DATE(YEAR(A798),MONTH(A798),1))</f>
        <v/>
      </c>
    </row>
    <row r="799" customFormat="false" ht="15" hidden="false" customHeight="false" outlineLevel="0" collapsed="false">
      <c r="A799" s="22"/>
      <c r="B799" s="23"/>
      <c r="C799" s="23"/>
      <c r="D799" s="24"/>
      <c r="E799" s="23"/>
      <c r="F799" s="15" t="str">
        <f aca="false">IF(B799="","",IFERROR(INDEX(Configurações!$B$7:$B$30,MATCH(B799,Configurações!$A$7:$A$30,0)),"?"))</f>
        <v/>
      </c>
      <c r="G799" s="25" t="str">
        <f aca="false">IF(A799="","",A799-WEEKDAY(A799,2)+1)</f>
        <v/>
      </c>
      <c r="H799" s="26" t="str">
        <f aca="false">IF(A799="","",DATE(YEAR(A799),MONTH(A799),1))</f>
        <v/>
      </c>
    </row>
    <row r="800" customFormat="false" ht="15" hidden="false" customHeight="false" outlineLevel="0" collapsed="false">
      <c r="A800" s="22"/>
      <c r="B800" s="23"/>
      <c r="C800" s="23"/>
      <c r="D800" s="24"/>
      <c r="E800" s="23"/>
      <c r="F800" s="15" t="str">
        <f aca="false">IF(B800="","",IFERROR(INDEX(Configurações!$B$7:$B$30,MATCH(B800,Configurações!$A$7:$A$30,0)),"?"))</f>
        <v/>
      </c>
      <c r="G800" s="25" t="str">
        <f aca="false">IF(A800="","",A800-WEEKDAY(A800,2)+1)</f>
        <v/>
      </c>
      <c r="H800" s="26" t="str">
        <f aca="false">IF(A800="","",DATE(YEAR(A800),MONTH(A800),1))</f>
        <v/>
      </c>
    </row>
    <row r="801" customFormat="false" ht="15" hidden="false" customHeight="false" outlineLevel="0" collapsed="false">
      <c r="A801" s="22"/>
      <c r="B801" s="23"/>
      <c r="C801" s="23"/>
      <c r="D801" s="24"/>
      <c r="E801" s="23"/>
      <c r="F801" s="15" t="str">
        <f aca="false">IF(B801="","",IFERROR(INDEX(Configurações!$B$7:$B$30,MATCH(B801,Configurações!$A$7:$A$30,0)),"?"))</f>
        <v/>
      </c>
      <c r="G801" s="25" t="str">
        <f aca="false">IF(A801="","",A801-WEEKDAY(A801,2)+1)</f>
        <v/>
      </c>
      <c r="H801" s="26" t="str">
        <f aca="false">IF(A801="","",DATE(YEAR(A801),MONTH(A801),1))</f>
        <v/>
      </c>
    </row>
    <row r="802" customFormat="false" ht="15" hidden="false" customHeight="false" outlineLevel="0" collapsed="false">
      <c r="A802" s="22"/>
      <c r="B802" s="23"/>
      <c r="C802" s="23"/>
      <c r="D802" s="24"/>
      <c r="E802" s="23"/>
      <c r="F802" s="15" t="str">
        <f aca="false">IF(B802="","",IFERROR(INDEX(Configurações!$B$7:$B$30,MATCH(B802,Configurações!$A$7:$A$30,0)),"?"))</f>
        <v/>
      </c>
      <c r="G802" s="25" t="str">
        <f aca="false">IF(A802="","",A802-WEEKDAY(A802,2)+1)</f>
        <v/>
      </c>
      <c r="H802" s="26" t="str">
        <f aca="false">IF(A802="","",DATE(YEAR(A802),MONTH(A802),1))</f>
        <v/>
      </c>
    </row>
    <row r="803" customFormat="false" ht="15" hidden="false" customHeight="false" outlineLevel="0" collapsed="false">
      <c r="A803" s="22"/>
      <c r="B803" s="23"/>
      <c r="C803" s="23"/>
      <c r="D803" s="24"/>
      <c r="E803" s="23"/>
      <c r="F803" s="15" t="str">
        <f aca="false">IF(B803="","",IFERROR(INDEX(Configurações!$B$7:$B$30,MATCH(B803,Configurações!$A$7:$A$30,0)),"?"))</f>
        <v/>
      </c>
      <c r="G803" s="25" t="str">
        <f aca="false">IF(A803="","",A803-WEEKDAY(A803,2)+1)</f>
        <v/>
      </c>
      <c r="H803" s="26" t="str">
        <f aca="false">IF(A803="","",DATE(YEAR(A803),MONTH(A803),1))</f>
        <v/>
      </c>
    </row>
    <row r="804" customFormat="false" ht="15" hidden="false" customHeight="false" outlineLevel="0" collapsed="false">
      <c r="A804" s="22"/>
      <c r="B804" s="23"/>
      <c r="C804" s="23"/>
      <c r="D804" s="24"/>
      <c r="E804" s="23"/>
      <c r="F804" s="15" t="str">
        <f aca="false">IF(B804="","",IFERROR(INDEX(Configurações!$B$7:$B$30,MATCH(B804,Configurações!$A$7:$A$30,0)),"?"))</f>
        <v/>
      </c>
      <c r="G804" s="25" t="str">
        <f aca="false">IF(A804="","",A804-WEEKDAY(A804,2)+1)</f>
        <v/>
      </c>
      <c r="H804" s="26" t="str">
        <f aca="false">IF(A804="","",DATE(YEAR(A804),MONTH(A804),1))</f>
        <v/>
      </c>
    </row>
    <row r="805" customFormat="false" ht="15" hidden="false" customHeight="false" outlineLevel="0" collapsed="false">
      <c r="A805" s="22"/>
      <c r="B805" s="23"/>
      <c r="C805" s="23"/>
      <c r="D805" s="24"/>
      <c r="E805" s="23"/>
      <c r="F805" s="15" t="str">
        <f aca="false">IF(B805="","",IFERROR(INDEX(Configurações!$B$7:$B$30,MATCH(B805,Configurações!$A$7:$A$30,0)),"?"))</f>
        <v/>
      </c>
      <c r="G805" s="25" t="str">
        <f aca="false">IF(A805="","",A805-WEEKDAY(A805,2)+1)</f>
        <v/>
      </c>
      <c r="H805" s="26" t="str">
        <f aca="false">IF(A805="","",DATE(YEAR(A805),MONTH(A805),1))</f>
        <v/>
      </c>
    </row>
    <row r="806" customFormat="false" ht="15" hidden="false" customHeight="false" outlineLevel="0" collapsed="false">
      <c r="A806" s="22"/>
      <c r="B806" s="23"/>
      <c r="C806" s="23"/>
      <c r="D806" s="24"/>
      <c r="E806" s="23"/>
      <c r="F806" s="15" t="str">
        <f aca="false">IF(B806="","",IFERROR(INDEX(Configurações!$B$7:$B$30,MATCH(B806,Configurações!$A$7:$A$30,0)),"?"))</f>
        <v/>
      </c>
      <c r="G806" s="25" t="str">
        <f aca="false">IF(A806="","",A806-WEEKDAY(A806,2)+1)</f>
        <v/>
      </c>
      <c r="H806" s="26" t="str">
        <f aca="false">IF(A806="","",DATE(YEAR(A806),MONTH(A806),1))</f>
        <v/>
      </c>
    </row>
    <row r="807" customFormat="false" ht="15" hidden="false" customHeight="false" outlineLevel="0" collapsed="false">
      <c r="A807" s="22"/>
      <c r="B807" s="23"/>
      <c r="C807" s="23"/>
      <c r="D807" s="24"/>
      <c r="E807" s="23"/>
      <c r="F807" s="15" t="str">
        <f aca="false">IF(B807="","",IFERROR(INDEX(Configurações!$B$7:$B$30,MATCH(B807,Configurações!$A$7:$A$30,0)),"?"))</f>
        <v/>
      </c>
      <c r="G807" s="25" t="str">
        <f aca="false">IF(A807="","",A807-WEEKDAY(A807,2)+1)</f>
        <v/>
      </c>
      <c r="H807" s="26" t="str">
        <f aca="false">IF(A807="","",DATE(YEAR(A807),MONTH(A807),1))</f>
        <v/>
      </c>
    </row>
    <row r="808" customFormat="false" ht="15" hidden="false" customHeight="false" outlineLevel="0" collapsed="false">
      <c r="A808" s="22"/>
      <c r="B808" s="23"/>
      <c r="C808" s="23"/>
      <c r="D808" s="24"/>
      <c r="E808" s="23"/>
      <c r="F808" s="15" t="str">
        <f aca="false">IF(B808="","",IFERROR(INDEX(Configurações!$B$7:$B$30,MATCH(B808,Configurações!$A$7:$A$30,0)),"?"))</f>
        <v/>
      </c>
      <c r="G808" s="25" t="str">
        <f aca="false">IF(A808="","",A808-WEEKDAY(A808,2)+1)</f>
        <v/>
      </c>
      <c r="H808" s="26" t="str">
        <f aca="false">IF(A808="","",DATE(YEAR(A808),MONTH(A808),1))</f>
        <v/>
      </c>
    </row>
    <row r="809" customFormat="false" ht="15" hidden="false" customHeight="false" outlineLevel="0" collapsed="false">
      <c r="A809" s="22"/>
      <c r="B809" s="23"/>
      <c r="C809" s="23"/>
      <c r="D809" s="24"/>
      <c r="E809" s="23"/>
      <c r="F809" s="15" t="str">
        <f aca="false">IF(B809="","",IFERROR(INDEX(Configurações!$B$7:$B$30,MATCH(B809,Configurações!$A$7:$A$30,0)),"?"))</f>
        <v/>
      </c>
      <c r="G809" s="25" t="str">
        <f aca="false">IF(A809="","",A809-WEEKDAY(A809,2)+1)</f>
        <v/>
      </c>
      <c r="H809" s="26" t="str">
        <f aca="false">IF(A809="","",DATE(YEAR(A809),MONTH(A809),1))</f>
        <v/>
      </c>
    </row>
    <row r="810" customFormat="false" ht="15" hidden="false" customHeight="false" outlineLevel="0" collapsed="false">
      <c r="A810" s="22"/>
      <c r="B810" s="23"/>
      <c r="C810" s="23"/>
      <c r="D810" s="24"/>
      <c r="E810" s="23"/>
      <c r="F810" s="15" t="str">
        <f aca="false">IF(B810="","",IFERROR(INDEX(Configurações!$B$7:$B$30,MATCH(B810,Configurações!$A$7:$A$30,0)),"?"))</f>
        <v/>
      </c>
      <c r="G810" s="25" t="str">
        <f aca="false">IF(A810="","",A810-WEEKDAY(A810,2)+1)</f>
        <v/>
      </c>
      <c r="H810" s="26" t="str">
        <f aca="false">IF(A810="","",DATE(YEAR(A810),MONTH(A810),1))</f>
        <v/>
      </c>
    </row>
    <row r="811" customFormat="false" ht="15" hidden="false" customHeight="false" outlineLevel="0" collapsed="false">
      <c r="A811" s="22"/>
      <c r="B811" s="23"/>
      <c r="C811" s="23"/>
      <c r="D811" s="24"/>
      <c r="E811" s="23"/>
      <c r="F811" s="15" t="str">
        <f aca="false">IF(B811="","",IFERROR(INDEX(Configurações!$B$7:$B$30,MATCH(B811,Configurações!$A$7:$A$30,0)),"?"))</f>
        <v/>
      </c>
      <c r="G811" s="25" t="str">
        <f aca="false">IF(A811="","",A811-WEEKDAY(A811,2)+1)</f>
        <v/>
      </c>
      <c r="H811" s="26" t="str">
        <f aca="false">IF(A811="","",DATE(YEAR(A811),MONTH(A811),1))</f>
        <v/>
      </c>
    </row>
    <row r="812" customFormat="false" ht="15" hidden="false" customHeight="false" outlineLevel="0" collapsed="false">
      <c r="A812" s="22"/>
      <c r="B812" s="23"/>
      <c r="C812" s="23"/>
      <c r="D812" s="24"/>
      <c r="E812" s="23"/>
      <c r="F812" s="15" t="str">
        <f aca="false">IF(B812="","",IFERROR(INDEX(Configurações!$B$7:$B$30,MATCH(B812,Configurações!$A$7:$A$30,0)),"?"))</f>
        <v/>
      </c>
      <c r="G812" s="25" t="str">
        <f aca="false">IF(A812="","",A812-WEEKDAY(A812,2)+1)</f>
        <v/>
      </c>
      <c r="H812" s="26" t="str">
        <f aca="false">IF(A812="","",DATE(YEAR(A812),MONTH(A812),1))</f>
        <v/>
      </c>
    </row>
    <row r="813" customFormat="false" ht="15" hidden="false" customHeight="false" outlineLevel="0" collapsed="false">
      <c r="A813" s="22"/>
      <c r="B813" s="23"/>
      <c r="C813" s="23"/>
      <c r="D813" s="24"/>
      <c r="E813" s="23"/>
      <c r="F813" s="15" t="str">
        <f aca="false">IF(B813="","",IFERROR(INDEX(Configurações!$B$7:$B$30,MATCH(B813,Configurações!$A$7:$A$30,0)),"?"))</f>
        <v/>
      </c>
      <c r="G813" s="25" t="str">
        <f aca="false">IF(A813="","",A813-WEEKDAY(A813,2)+1)</f>
        <v/>
      </c>
      <c r="H813" s="26" t="str">
        <f aca="false">IF(A813="","",DATE(YEAR(A813),MONTH(A813),1))</f>
        <v/>
      </c>
    </row>
    <row r="814" customFormat="false" ht="15" hidden="false" customHeight="false" outlineLevel="0" collapsed="false">
      <c r="A814" s="22"/>
      <c r="B814" s="23"/>
      <c r="C814" s="23"/>
      <c r="D814" s="24"/>
      <c r="E814" s="23"/>
      <c r="F814" s="15" t="str">
        <f aca="false">IF(B814="","",IFERROR(INDEX(Configurações!$B$7:$B$30,MATCH(B814,Configurações!$A$7:$A$30,0)),"?"))</f>
        <v/>
      </c>
      <c r="G814" s="25" t="str">
        <f aca="false">IF(A814="","",A814-WEEKDAY(A814,2)+1)</f>
        <v/>
      </c>
      <c r="H814" s="26" t="str">
        <f aca="false">IF(A814="","",DATE(YEAR(A814),MONTH(A814),1))</f>
        <v/>
      </c>
    </row>
    <row r="815" customFormat="false" ht="15" hidden="false" customHeight="false" outlineLevel="0" collapsed="false">
      <c r="A815" s="22"/>
      <c r="B815" s="23"/>
      <c r="C815" s="23"/>
      <c r="D815" s="24"/>
      <c r="E815" s="23"/>
      <c r="F815" s="15" t="str">
        <f aca="false">IF(B815="","",IFERROR(INDEX(Configurações!$B$7:$B$30,MATCH(B815,Configurações!$A$7:$A$30,0)),"?"))</f>
        <v/>
      </c>
      <c r="G815" s="25" t="str">
        <f aca="false">IF(A815="","",A815-WEEKDAY(A815,2)+1)</f>
        <v/>
      </c>
      <c r="H815" s="26" t="str">
        <f aca="false">IF(A815="","",DATE(YEAR(A815),MONTH(A815),1))</f>
        <v/>
      </c>
    </row>
    <row r="816" customFormat="false" ht="15" hidden="false" customHeight="false" outlineLevel="0" collapsed="false">
      <c r="A816" s="22"/>
      <c r="B816" s="23"/>
      <c r="C816" s="23"/>
      <c r="D816" s="24"/>
      <c r="E816" s="23"/>
      <c r="F816" s="15" t="str">
        <f aca="false">IF(B816="","",IFERROR(INDEX(Configurações!$B$7:$B$30,MATCH(B816,Configurações!$A$7:$A$30,0)),"?"))</f>
        <v/>
      </c>
      <c r="G816" s="25" t="str">
        <f aca="false">IF(A816="","",A816-WEEKDAY(A816,2)+1)</f>
        <v/>
      </c>
      <c r="H816" s="26" t="str">
        <f aca="false">IF(A816="","",DATE(YEAR(A816),MONTH(A816),1))</f>
        <v/>
      </c>
    </row>
    <row r="817" customFormat="false" ht="15" hidden="false" customHeight="false" outlineLevel="0" collapsed="false">
      <c r="A817" s="22"/>
      <c r="B817" s="23"/>
      <c r="C817" s="23"/>
      <c r="D817" s="24"/>
      <c r="E817" s="23"/>
      <c r="F817" s="15" t="str">
        <f aca="false">IF(B817="","",IFERROR(INDEX(Configurações!$B$7:$B$30,MATCH(B817,Configurações!$A$7:$A$30,0)),"?"))</f>
        <v/>
      </c>
      <c r="G817" s="25" t="str">
        <f aca="false">IF(A817="","",A817-WEEKDAY(A817,2)+1)</f>
        <v/>
      </c>
      <c r="H817" s="26" t="str">
        <f aca="false">IF(A817="","",DATE(YEAR(A817),MONTH(A817),1))</f>
        <v/>
      </c>
    </row>
    <row r="818" customFormat="false" ht="15" hidden="false" customHeight="false" outlineLevel="0" collapsed="false">
      <c r="A818" s="22"/>
      <c r="B818" s="23"/>
      <c r="C818" s="23"/>
      <c r="D818" s="24"/>
      <c r="E818" s="23"/>
      <c r="F818" s="15" t="str">
        <f aca="false">IF(B818="","",IFERROR(INDEX(Configurações!$B$7:$B$30,MATCH(B818,Configurações!$A$7:$A$30,0)),"?"))</f>
        <v/>
      </c>
      <c r="G818" s="25" t="str">
        <f aca="false">IF(A818="","",A818-WEEKDAY(A818,2)+1)</f>
        <v/>
      </c>
      <c r="H818" s="26" t="str">
        <f aca="false">IF(A818="","",DATE(YEAR(A818),MONTH(A818),1))</f>
        <v/>
      </c>
    </row>
    <row r="819" customFormat="false" ht="15" hidden="false" customHeight="false" outlineLevel="0" collapsed="false">
      <c r="A819" s="22"/>
      <c r="B819" s="23"/>
      <c r="C819" s="23"/>
      <c r="D819" s="24"/>
      <c r="E819" s="23"/>
      <c r="F819" s="15" t="str">
        <f aca="false">IF(B819="","",IFERROR(INDEX(Configurações!$B$7:$B$30,MATCH(B819,Configurações!$A$7:$A$30,0)),"?"))</f>
        <v/>
      </c>
      <c r="G819" s="25" t="str">
        <f aca="false">IF(A819="","",A819-WEEKDAY(A819,2)+1)</f>
        <v/>
      </c>
      <c r="H819" s="26" t="str">
        <f aca="false">IF(A819="","",DATE(YEAR(A819),MONTH(A819),1))</f>
        <v/>
      </c>
    </row>
    <row r="820" customFormat="false" ht="15" hidden="false" customHeight="false" outlineLevel="0" collapsed="false">
      <c r="A820" s="22"/>
      <c r="B820" s="23"/>
      <c r="C820" s="23"/>
      <c r="D820" s="24"/>
      <c r="E820" s="23"/>
      <c r="F820" s="15" t="str">
        <f aca="false">IF(B820="","",IFERROR(INDEX(Configurações!$B$7:$B$30,MATCH(B820,Configurações!$A$7:$A$30,0)),"?"))</f>
        <v/>
      </c>
      <c r="G820" s="25" t="str">
        <f aca="false">IF(A820="","",A820-WEEKDAY(A820,2)+1)</f>
        <v/>
      </c>
      <c r="H820" s="26" t="str">
        <f aca="false">IF(A820="","",DATE(YEAR(A820),MONTH(A820),1))</f>
        <v/>
      </c>
    </row>
    <row r="821" customFormat="false" ht="15" hidden="false" customHeight="false" outlineLevel="0" collapsed="false">
      <c r="A821" s="22"/>
      <c r="B821" s="23"/>
      <c r="C821" s="23"/>
      <c r="D821" s="24"/>
      <c r="E821" s="23"/>
      <c r="F821" s="15" t="str">
        <f aca="false">IF(B821="","",IFERROR(INDEX(Configurações!$B$7:$B$30,MATCH(B821,Configurações!$A$7:$A$30,0)),"?"))</f>
        <v/>
      </c>
      <c r="G821" s="25" t="str">
        <f aca="false">IF(A821="","",A821-WEEKDAY(A821,2)+1)</f>
        <v/>
      </c>
      <c r="H821" s="26" t="str">
        <f aca="false">IF(A821="","",DATE(YEAR(A821),MONTH(A821),1))</f>
        <v/>
      </c>
    </row>
    <row r="822" customFormat="false" ht="15" hidden="false" customHeight="false" outlineLevel="0" collapsed="false">
      <c r="A822" s="22"/>
      <c r="B822" s="23"/>
      <c r="C822" s="23"/>
      <c r="D822" s="24"/>
      <c r="E822" s="23"/>
      <c r="F822" s="15" t="str">
        <f aca="false">IF(B822="","",IFERROR(INDEX(Configurações!$B$7:$B$30,MATCH(B822,Configurações!$A$7:$A$30,0)),"?"))</f>
        <v/>
      </c>
      <c r="G822" s="25" t="str">
        <f aca="false">IF(A822="","",A822-WEEKDAY(A822,2)+1)</f>
        <v/>
      </c>
      <c r="H822" s="26" t="str">
        <f aca="false">IF(A822="","",DATE(YEAR(A822),MONTH(A822),1))</f>
        <v/>
      </c>
    </row>
    <row r="823" customFormat="false" ht="15" hidden="false" customHeight="false" outlineLevel="0" collapsed="false">
      <c r="A823" s="22"/>
      <c r="B823" s="23"/>
      <c r="C823" s="23"/>
      <c r="D823" s="24"/>
      <c r="E823" s="23"/>
      <c r="F823" s="15" t="str">
        <f aca="false">IF(B823="","",IFERROR(INDEX(Configurações!$B$7:$B$30,MATCH(B823,Configurações!$A$7:$A$30,0)),"?"))</f>
        <v/>
      </c>
      <c r="G823" s="25" t="str">
        <f aca="false">IF(A823="","",A823-WEEKDAY(A823,2)+1)</f>
        <v/>
      </c>
      <c r="H823" s="26" t="str">
        <f aca="false">IF(A823="","",DATE(YEAR(A823),MONTH(A823),1))</f>
        <v/>
      </c>
    </row>
    <row r="824" customFormat="false" ht="15" hidden="false" customHeight="false" outlineLevel="0" collapsed="false">
      <c r="A824" s="22"/>
      <c r="B824" s="23"/>
      <c r="C824" s="23"/>
      <c r="D824" s="24"/>
      <c r="E824" s="23"/>
      <c r="F824" s="15" t="str">
        <f aca="false">IF(B824="","",IFERROR(INDEX(Configurações!$B$7:$B$30,MATCH(B824,Configurações!$A$7:$A$30,0)),"?"))</f>
        <v/>
      </c>
      <c r="G824" s="25" t="str">
        <f aca="false">IF(A824="","",A824-WEEKDAY(A824,2)+1)</f>
        <v/>
      </c>
      <c r="H824" s="26" t="str">
        <f aca="false">IF(A824="","",DATE(YEAR(A824),MONTH(A824),1))</f>
        <v/>
      </c>
    </row>
    <row r="825" customFormat="false" ht="15" hidden="false" customHeight="false" outlineLevel="0" collapsed="false">
      <c r="A825" s="22"/>
      <c r="B825" s="23"/>
      <c r="C825" s="23"/>
      <c r="D825" s="24"/>
      <c r="E825" s="23"/>
      <c r="F825" s="15" t="str">
        <f aca="false">IF(B825="","",IFERROR(INDEX(Configurações!$B$7:$B$30,MATCH(B825,Configurações!$A$7:$A$30,0)),"?"))</f>
        <v/>
      </c>
      <c r="G825" s="25" t="str">
        <f aca="false">IF(A825="","",A825-WEEKDAY(A825,2)+1)</f>
        <v/>
      </c>
      <c r="H825" s="26" t="str">
        <f aca="false">IF(A825="","",DATE(YEAR(A825),MONTH(A825),1))</f>
        <v/>
      </c>
    </row>
    <row r="826" customFormat="false" ht="15" hidden="false" customHeight="false" outlineLevel="0" collapsed="false">
      <c r="A826" s="22"/>
      <c r="B826" s="23"/>
      <c r="C826" s="23"/>
      <c r="D826" s="24"/>
      <c r="E826" s="23"/>
      <c r="F826" s="15" t="str">
        <f aca="false">IF(B826="","",IFERROR(INDEX(Configurações!$B$7:$B$30,MATCH(B826,Configurações!$A$7:$A$30,0)),"?"))</f>
        <v/>
      </c>
      <c r="G826" s="25" t="str">
        <f aca="false">IF(A826="","",A826-WEEKDAY(A826,2)+1)</f>
        <v/>
      </c>
      <c r="H826" s="26" t="str">
        <f aca="false">IF(A826="","",DATE(YEAR(A826),MONTH(A826),1))</f>
        <v/>
      </c>
    </row>
    <row r="827" customFormat="false" ht="15" hidden="false" customHeight="false" outlineLevel="0" collapsed="false">
      <c r="A827" s="22"/>
      <c r="B827" s="23"/>
      <c r="C827" s="23"/>
      <c r="D827" s="24"/>
      <c r="E827" s="23"/>
      <c r="F827" s="15" t="str">
        <f aca="false">IF(B827="","",IFERROR(INDEX(Configurações!$B$7:$B$30,MATCH(B827,Configurações!$A$7:$A$30,0)),"?"))</f>
        <v/>
      </c>
      <c r="G827" s="25" t="str">
        <f aca="false">IF(A827="","",A827-WEEKDAY(A827,2)+1)</f>
        <v/>
      </c>
      <c r="H827" s="26" t="str">
        <f aca="false">IF(A827="","",DATE(YEAR(A827),MONTH(A827),1))</f>
        <v/>
      </c>
    </row>
    <row r="828" customFormat="false" ht="15" hidden="false" customHeight="false" outlineLevel="0" collapsed="false">
      <c r="A828" s="22"/>
      <c r="B828" s="23"/>
      <c r="C828" s="23"/>
      <c r="D828" s="24"/>
      <c r="E828" s="23"/>
      <c r="F828" s="15" t="str">
        <f aca="false">IF(B828="","",IFERROR(INDEX(Configurações!$B$7:$B$30,MATCH(B828,Configurações!$A$7:$A$30,0)),"?"))</f>
        <v/>
      </c>
      <c r="G828" s="25" t="str">
        <f aca="false">IF(A828="","",A828-WEEKDAY(A828,2)+1)</f>
        <v/>
      </c>
      <c r="H828" s="26" t="str">
        <f aca="false">IF(A828="","",DATE(YEAR(A828),MONTH(A828),1))</f>
        <v/>
      </c>
    </row>
    <row r="829" customFormat="false" ht="15" hidden="false" customHeight="false" outlineLevel="0" collapsed="false">
      <c r="A829" s="22"/>
      <c r="B829" s="23"/>
      <c r="C829" s="23"/>
      <c r="D829" s="24"/>
      <c r="E829" s="23"/>
      <c r="F829" s="15" t="str">
        <f aca="false">IF(B829="","",IFERROR(INDEX(Configurações!$B$7:$B$30,MATCH(B829,Configurações!$A$7:$A$30,0)),"?"))</f>
        <v/>
      </c>
      <c r="G829" s="25" t="str">
        <f aca="false">IF(A829="","",A829-WEEKDAY(A829,2)+1)</f>
        <v/>
      </c>
      <c r="H829" s="26" t="str">
        <f aca="false">IF(A829="","",DATE(YEAR(A829),MONTH(A829),1))</f>
        <v/>
      </c>
    </row>
    <row r="830" customFormat="false" ht="15" hidden="false" customHeight="false" outlineLevel="0" collapsed="false">
      <c r="A830" s="22"/>
      <c r="B830" s="23"/>
      <c r="C830" s="23"/>
      <c r="D830" s="24"/>
      <c r="E830" s="23"/>
      <c r="F830" s="15" t="str">
        <f aca="false">IF(B830="","",IFERROR(INDEX(Configurações!$B$7:$B$30,MATCH(B830,Configurações!$A$7:$A$30,0)),"?"))</f>
        <v/>
      </c>
      <c r="G830" s="25" t="str">
        <f aca="false">IF(A830="","",A830-WEEKDAY(A830,2)+1)</f>
        <v/>
      </c>
      <c r="H830" s="26" t="str">
        <f aca="false">IF(A830="","",DATE(YEAR(A830),MONTH(A830),1))</f>
        <v/>
      </c>
    </row>
    <row r="831" customFormat="false" ht="15" hidden="false" customHeight="false" outlineLevel="0" collapsed="false">
      <c r="A831" s="22"/>
      <c r="B831" s="23"/>
      <c r="C831" s="23"/>
      <c r="D831" s="24"/>
      <c r="E831" s="23"/>
      <c r="F831" s="15" t="str">
        <f aca="false">IF(B831="","",IFERROR(INDEX(Configurações!$B$7:$B$30,MATCH(B831,Configurações!$A$7:$A$30,0)),"?"))</f>
        <v/>
      </c>
      <c r="G831" s="25" t="str">
        <f aca="false">IF(A831="","",A831-WEEKDAY(A831,2)+1)</f>
        <v/>
      </c>
      <c r="H831" s="26" t="str">
        <f aca="false">IF(A831="","",DATE(YEAR(A831),MONTH(A831),1))</f>
        <v/>
      </c>
    </row>
    <row r="832" customFormat="false" ht="15" hidden="false" customHeight="false" outlineLevel="0" collapsed="false">
      <c r="A832" s="22"/>
      <c r="B832" s="23"/>
      <c r="C832" s="23"/>
      <c r="D832" s="24"/>
      <c r="E832" s="23"/>
      <c r="F832" s="15" t="str">
        <f aca="false">IF(B832="","",IFERROR(INDEX(Configurações!$B$7:$B$30,MATCH(B832,Configurações!$A$7:$A$30,0)),"?"))</f>
        <v/>
      </c>
      <c r="G832" s="25" t="str">
        <f aca="false">IF(A832="","",A832-WEEKDAY(A832,2)+1)</f>
        <v/>
      </c>
      <c r="H832" s="26" t="str">
        <f aca="false">IF(A832="","",DATE(YEAR(A832),MONTH(A832),1))</f>
        <v/>
      </c>
    </row>
    <row r="833" customFormat="false" ht="15" hidden="false" customHeight="false" outlineLevel="0" collapsed="false">
      <c r="A833" s="22"/>
      <c r="B833" s="23"/>
      <c r="C833" s="23"/>
      <c r="D833" s="24"/>
      <c r="E833" s="23"/>
      <c r="F833" s="15" t="str">
        <f aca="false">IF(B833="","",IFERROR(INDEX(Configurações!$B$7:$B$30,MATCH(B833,Configurações!$A$7:$A$30,0)),"?"))</f>
        <v/>
      </c>
      <c r="G833" s="25" t="str">
        <f aca="false">IF(A833="","",A833-WEEKDAY(A833,2)+1)</f>
        <v/>
      </c>
      <c r="H833" s="26" t="str">
        <f aca="false">IF(A833="","",DATE(YEAR(A833),MONTH(A833),1))</f>
        <v/>
      </c>
    </row>
    <row r="834" customFormat="false" ht="15" hidden="false" customHeight="false" outlineLevel="0" collapsed="false">
      <c r="A834" s="22"/>
      <c r="B834" s="23"/>
      <c r="C834" s="23"/>
      <c r="D834" s="24"/>
      <c r="E834" s="23"/>
      <c r="F834" s="15" t="str">
        <f aca="false">IF(B834="","",IFERROR(INDEX(Configurações!$B$7:$B$30,MATCH(B834,Configurações!$A$7:$A$30,0)),"?"))</f>
        <v/>
      </c>
      <c r="G834" s="25" t="str">
        <f aca="false">IF(A834="","",A834-WEEKDAY(A834,2)+1)</f>
        <v/>
      </c>
      <c r="H834" s="26" t="str">
        <f aca="false">IF(A834="","",DATE(YEAR(A834),MONTH(A834),1))</f>
        <v/>
      </c>
    </row>
    <row r="835" customFormat="false" ht="15" hidden="false" customHeight="false" outlineLevel="0" collapsed="false">
      <c r="A835" s="22"/>
      <c r="B835" s="23"/>
      <c r="C835" s="23"/>
      <c r="D835" s="24"/>
      <c r="E835" s="23"/>
      <c r="F835" s="15" t="str">
        <f aca="false">IF(B835="","",IFERROR(INDEX(Configurações!$B$7:$B$30,MATCH(B835,Configurações!$A$7:$A$30,0)),"?"))</f>
        <v/>
      </c>
      <c r="G835" s="25" t="str">
        <f aca="false">IF(A835="","",A835-WEEKDAY(A835,2)+1)</f>
        <v/>
      </c>
      <c r="H835" s="26" t="str">
        <f aca="false">IF(A835="","",DATE(YEAR(A835),MONTH(A835),1))</f>
        <v/>
      </c>
    </row>
    <row r="836" customFormat="false" ht="15" hidden="false" customHeight="false" outlineLevel="0" collapsed="false">
      <c r="A836" s="22"/>
      <c r="B836" s="23"/>
      <c r="C836" s="23"/>
      <c r="D836" s="24"/>
      <c r="E836" s="23"/>
      <c r="F836" s="15" t="str">
        <f aca="false">IF(B836="","",IFERROR(INDEX(Configurações!$B$7:$B$30,MATCH(B836,Configurações!$A$7:$A$30,0)),"?"))</f>
        <v/>
      </c>
      <c r="G836" s="25" t="str">
        <f aca="false">IF(A836="","",A836-WEEKDAY(A836,2)+1)</f>
        <v/>
      </c>
      <c r="H836" s="26" t="str">
        <f aca="false">IF(A836="","",DATE(YEAR(A836),MONTH(A836),1))</f>
        <v/>
      </c>
    </row>
    <row r="837" customFormat="false" ht="15" hidden="false" customHeight="false" outlineLevel="0" collapsed="false">
      <c r="A837" s="22"/>
      <c r="B837" s="23"/>
      <c r="C837" s="23"/>
      <c r="D837" s="24"/>
      <c r="E837" s="23"/>
      <c r="F837" s="15" t="str">
        <f aca="false">IF(B837="","",IFERROR(INDEX(Configurações!$B$7:$B$30,MATCH(B837,Configurações!$A$7:$A$30,0)),"?"))</f>
        <v/>
      </c>
      <c r="G837" s="25" t="str">
        <f aca="false">IF(A837="","",A837-WEEKDAY(A837,2)+1)</f>
        <v/>
      </c>
      <c r="H837" s="26" t="str">
        <f aca="false">IF(A837="","",DATE(YEAR(A837),MONTH(A837),1))</f>
        <v/>
      </c>
    </row>
    <row r="838" customFormat="false" ht="15" hidden="false" customHeight="false" outlineLevel="0" collapsed="false">
      <c r="A838" s="22"/>
      <c r="B838" s="23"/>
      <c r="C838" s="23"/>
      <c r="D838" s="24"/>
      <c r="E838" s="23"/>
      <c r="F838" s="15" t="str">
        <f aca="false">IF(B838="","",IFERROR(INDEX(Configurações!$B$7:$B$30,MATCH(B838,Configurações!$A$7:$A$30,0)),"?"))</f>
        <v/>
      </c>
      <c r="G838" s="25" t="str">
        <f aca="false">IF(A838="","",A838-WEEKDAY(A838,2)+1)</f>
        <v/>
      </c>
      <c r="H838" s="26" t="str">
        <f aca="false">IF(A838="","",DATE(YEAR(A838),MONTH(A838),1))</f>
        <v/>
      </c>
    </row>
    <row r="839" customFormat="false" ht="15" hidden="false" customHeight="false" outlineLevel="0" collapsed="false">
      <c r="A839" s="22"/>
      <c r="B839" s="23"/>
      <c r="C839" s="23"/>
      <c r="D839" s="24"/>
      <c r="E839" s="23"/>
      <c r="F839" s="15" t="str">
        <f aca="false">IF(B839="","",IFERROR(INDEX(Configurações!$B$7:$B$30,MATCH(B839,Configurações!$A$7:$A$30,0)),"?"))</f>
        <v/>
      </c>
      <c r="G839" s="25" t="str">
        <f aca="false">IF(A839="","",A839-WEEKDAY(A839,2)+1)</f>
        <v/>
      </c>
      <c r="H839" s="26" t="str">
        <f aca="false">IF(A839="","",DATE(YEAR(A839),MONTH(A839),1))</f>
        <v/>
      </c>
    </row>
    <row r="840" customFormat="false" ht="15" hidden="false" customHeight="false" outlineLevel="0" collapsed="false">
      <c r="A840" s="22"/>
      <c r="B840" s="23"/>
      <c r="C840" s="23"/>
      <c r="D840" s="24"/>
      <c r="E840" s="23"/>
      <c r="F840" s="15" t="str">
        <f aca="false">IF(B840="","",IFERROR(INDEX(Configurações!$B$7:$B$30,MATCH(B840,Configurações!$A$7:$A$30,0)),"?"))</f>
        <v/>
      </c>
      <c r="G840" s="25" t="str">
        <f aca="false">IF(A840="","",A840-WEEKDAY(A840,2)+1)</f>
        <v/>
      </c>
      <c r="H840" s="26" t="str">
        <f aca="false">IF(A840="","",DATE(YEAR(A840),MONTH(A840),1))</f>
        <v/>
      </c>
    </row>
    <row r="841" customFormat="false" ht="15" hidden="false" customHeight="false" outlineLevel="0" collapsed="false">
      <c r="A841" s="22"/>
      <c r="B841" s="23"/>
      <c r="C841" s="23"/>
      <c r="D841" s="24"/>
      <c r="E841" s="23"/>
      <c r="F841" s="15" t="str">
        <f aca="false">IF(B841="","",IFERROR(INDEX(Configurações!$B$7:$B$30,MATCH(B841,Configurações!$A$7:$A$30,0)),"?"))</f>
        <v/>
      </c>
      <c r="G841" s="25" t="str">
        <f aca="false">IF(A841="","",A841-WEEKDAY(A841,2)+1)</f>
        <v/>
      </c>
      <c r="H841" s="26" t="str">
        <f aca="false">IF(A841="","",DATE(YEAR(A841),MONTH(A841),1))</f>
        <v/>
      </c>
    </row>
    <row r="842" customFormat="false" ht="15" hidden="false" customHeight="false" outlineLevel="0" collapsed="false">
      <c r="A842" s="22"/>
      <c r="B842" s="23"/>
      <c r="C842" s="23"/>
      <c r="D842" s="24"/>
      <c r="E842" s="23"/>
      <c r="F842" s="15" t="str">
        <f aca="false">IF(B842="","",IFERROR(INDEX(Configurações!$B$7:$B$30,MATCH(B842,Configurações!$A$7:$A$30,0)),"?"))</f>
        <v/>
      </c>
      <c r="G842" s="25" t="str">
        <f aca="false">IF(A842="","",A842-WEEKDAY(A842,2)+1)</f>
        <v/>
      </c>
      <c r="H842" s="26" t="str">
        <f aca="false">IF(A842="","",DATE(YEAR(A842),MONTH(A842),1))</f>
        <v/>
      </c>
    </row>
    <row r="843" customFormat="false" ht="15" hidden="false" customHeight="false" outlineLevel="0" collapsed="false">
      <c r="A843" s="22"/>
      <c r="B843" s="23"/>
      <c r="C843" s="23"/>
      <c r="D843" s="24"/>
      <c r="E843" s="23"/>
      <c r="F843" s="15" t="str">
        <f aca="false">IF(B843="","",IFERROR(INDEX(Configurações!$B$7:$B$30,MATCH(B843,Configurações!$A$7:$A$30,0)),"?"))</f>
        <v/>
      </c>
      <c r="G843" s="25" t="str">
        <f aca="false">IF(A843="","",A843-WEEKDAY(A843,2)+1)</f>
        <v/>
      </c>
      <c r="H843" s="26" t="str">
        <f aca="false">IF(A843="","",DATE(YEAR(A843),MONTH(A843),1))</f>
        <v/>
      </c>
    </row>
    <row r="844" customFormat="false" ht="15" hidden="false" customHeight="false" outlineLevel="0" collapsed="false">
      <c r="A844" s="22"/>
      <c r="B844" s="23"/>
      <c r="C844" s="23"/>
      <c r="D844" s="24"/>
      <c r="E844" s="23"/>
      <c r="F844" s="15" t="str">
        <f aca="false">IF(B844="","",IFERROR(INDEX(Configurações!$B$7:$B$30,MATCH(B844,Configurações!$A$7:$A$30,0)),"?"))</f>
        <v/>
      </c>
      <c r="G844" s="25" t="str">
        <f aca="false">IF(A844="","",A844-WEEKDAY(A844,2)+1)</f>
        <v/>
      </c>
      <c r="H844" s="26" t="str">
        <f aca="false">IF(A844="","",DATE(YEAR(A844),MONTH(A844),1))</f>
        <v/>
      </c>
    </row>
    <row r="845" customFormat="false" ht="15" hidden="false" customHeight="false" outlineLevel="0" collapsed="false">
      <c r="A845" s="22"/>
      <c r="B845" s="23"/>
      <c r="C845" s="23"/>
      <c r="D845" s="24"/>
      <c r="E845" s="23"/>
      <c r="F845" s="15" t="str">
        <f aca="false">IF(B845="","",IFERROR(INDEX(Configurações!$B$7:$B$30,MATCH(B845,Configurações!$A$7:$A$30,0)),"?"))</f>
        <v/>
      </c>
      <c r="G845" s="25" t="str">
        <f aca="false">IF(A845="","",A845-WEEKDAY(A845,2)+1)</f>
        <v/>
      </c>
      <c r="H845" s="26" t="str">
        <f aca="false">IF(A845="","",DATE(YEAR(A845),MONTH(A845),1))</f>
        <v/>
      </c>
    </row>
    <row r="846" customFormat="false" ht="15" hidden="false" customHeight="false" outlineLevel="0" collapsed="false">
      <c r="A846" s="22"/>
      <c r="B846" s="23"/>
      <c r="C846" s="23"/>
      <c r="D846" s="24"/>
      <c r="E846" s="23"/>
      <c r="F846" s="15" t="str">
        <f aca="false">IF(B846="","",IFERROR(INDEX(Configurações!$B$7:$B$30,MATCH(B846,Configurações!$A$7:$A$30,0)),"?"))</f>
        <v/>
      </c>
      <c r="G846" s="25" t="str">
        <f aca="false">IF(A846="","",A846-WEEKDAY(A846,2)+1)</f>
        <v/>
      </c>
      <c r="H846" s="26" t="str">
        <f aca="false">IF(A846="","",DATE(YEAR(A846),MONTH(A846),1))</f>
        <v/>
      </c>
    </row>
    <row r="847" customFormat="false" ht="15" hidden="false" customHeight="false" outlineLevel="0" collapsed="false">
      <c r="A847" s="22"/>
      <c r="B847" s="23"/>
      <c r="C847" s="23"/>
      <c r="D847" s="24"/>
      <c r="E847" s="23"/>
      <c r="F847" s="15" t="str">
        <f aca="false">IF(B847="","",IFERROR(INDEX(Configurações!$B$7:$B$30,MATCH(B847,Configurações!$A$7:$A$30,0)),"?"))</f>
        <v/>
      </c>
      <c r="G847" s="25" t="str">
        <f aca="false">IF(A847="","",A847-WEEKDAY(A847,2)+1)</f>
        <v/>
      </c>
      <c r="H847" s="26" t="str">
        <f aca="false">IF(A847="","",DATE(YEAR(A847),MONTH(A847),1))</f>
        <v/>
      </c>
    </row>
    <row r="848" customFormat="false" ht="15" hidden="false" customHeight="false" outlineLevel="0" collapsed="false">
      <c r="A848" s="22"/>
      <c r="B848" s="23"/>
      <c r="C848" s="23"/>
      <c r="D848" s="24"/>
      <c r="E848" s="23"/>
      <c r="F848" s="15" t="str">
        <f aca="false">IF(B848="","",IFERROR(INDEX(Configurações!$B$7:$B$30,MATCH(B848,Configurações!$A$7:$A$30,0)),"?"))</f>
        <v/>
      </c>
      <c r="G848" s="25" t="str">
        <f aca="false">IF(A848="","",A848-WEEKDAY(A848,2)+1)</f>
        <v/>
      </c>
      <c r="H848" s="26" t="str">
        <f aca="false">IF(A848="","",DATE(YEAR(A848),MONTH(A848),1))</f>
        <v/>
      </c>
    </row>
    <row r="849" customFormat="false" ht="15" hidden="false" customHeight="false" outlineLevel="0" collapsed="false">
      <c r="A849" s="22"/>
      <c r="B849" s="23"/>
      <c r="C849" s="23"/>
      <c r="D849" s="24"/>
      <c r="E849" s="23"/>
      <c r="F849" s="15" t="str">
        <f aca="false">IF(B849="","",IFERROR(INDEX(Configurações!$B$7:$B$30,MATCH(B849,Configurações!$A$7:$A$30,0)),"?"))</f>
        <v/>
      </c>
      <c r="G849" s="25" t="str">
        <f aca="false">IF(A849="","",A849-WEEKDAY(A849,2)+1)</f>
        <v/>
      </c>
      <c r="H849" s="26" t="str">
        <f aca="false">IF(A849="","",DATE(YEAR(A849),MONTH(A849),1))</f>
        <v/>
      </c>
    </row>
    <row r="850" customFormat="false" ht="15" hidden="false" customHeight="false" outlineLevel="0" collapsed="false">
      <c r="A850" s="22"/>
      <c r="B850" s="23"/>
      <c r="C850" s="23"/>
      <c r="D850" s="24"/>
      <c r="E850" s="23"/>
      <c r="F850" s="15" t="str">
        <f aca="false">IF(B850="","",IFERROR(INDEX(Configurações!$B$7:$B$30,MATCH(B850,Configurações!$A$7:$A$30,0)),"?"))</f>
        <v/>
      </c>
      <c r="G850" s="25" t="str">
        <f aca="false">IF(A850="","",A850-WEEKDAY(A850,2)+1)</f>
        <v/>
      </c>
      <c r="H850" s="26" t="str">
        <f aca="false">IF(A850="","",DATE(YEAR(A850),MONTH(A850),1))</f>
        <v/>
      </c>
    </row>
    <row r="851" customFormat="false" ht="15" hidden="false" customHeight="false" outlineLevel="0" collapsed="false">
      <c r="A851" s="22"/>
      <c r="B851" s="23"/>
      <c r="C851" s="23"/>
      <c r="D851" s="24"/>
      <c r="E851" s="23"/>
      <c r="F851" s="15" t="str">
        <f aca="false">IF(B851="","",IFERROR(INDEX(Configurações!$B$7:$B$30,MATCH(B851,Configurações!$A$7:$A$30,0)),"?"))</f>
        <v/>
      </c>
      <c r="G851" s="25" t="str">
        <f aca="false">IF(A851="","",A851-WEEKDAY(A851,2)+1)</f>
        <v/>
      </c>
      <c r="H851" s="26" t="str">
        <f aca="false">IF(A851="","",DATE(YEAR(A851),MONTH(A851),1))</f>
        <v/>
      </c>
    </row>
    <row r="852" customFormat="false" ht="15" hidden="false" customHeight="false" outlineLevel="0" collapsed="false">
      <c r="A852" s="22"/>
      <c r="B852" s="23"/>
      <c r="C852" s="23"/>
      <c r="D852" s="24"/>
      <c r="E852" s="23"/>
      <c r="F852" s="15" t="str">
        <f aca="false">IF(B852="","",IFERROR(INDEX(Configurações!$B$7:$B$30,MATCH(B852,Configurações!$A$7:$A$30,0)),"?"))</f>
        <v/>
      </c>
      <c r="G852" s="25" t="str">
        <f aca="false">IF(A852="","",A852-WEEKDAY(A852,2)+1)</f>
        <v/>
      </c>
      <c r="H852" s="26" t="str">
        <f aca="false">IF(A852="","",DATE(YEAR(A852),MONTH(A852),1))</f>
        <v/>
      </c>
    </row>
    <row r="853" customFormat="false" ht="15" hidden="false" customHeight="false" outlineLevel="0" collapsed="false">
      <c r="A853" s="22"/>
      <c r="B853" s="23"/>
      <c r="C853" s="23"/>
      <c r="D853" s="24"/>
      <c r="E853" s="23"/>
      <c r="F853" s="15" t="str">
        <f aca="false">IF(B853="","",IFERROR(INDEX(Configurações!$B$7:$B$30,MATCH(B853,Configurações!$A$7:$A$30,0)),"?"))</f>
        <v/>
      </c>
      <c r="G853" s="25" t="str">
        <f aca="false">IF(A853="","",A853-WEEKDAY(A853,2)+1)</f>
        <v/>
      </c>
      <c r="H853" s="26" t="str">
        <f aca="false">IF(A853="","",DATE(YEAR(A853),MONTH(A853),1))</f>
        <v/>
      </c>
    </row>
    <row r="854" customFormat="false" ht="15" hidden="false" customHeight="false" outlineLevel="0" collapsed="false">
      <c r="A854" s="22"/>
      <c r="B854" s="23"/>
      <c r="C854" s="23"/>
      <c r="D854" s="24"/>
      <c r="E854" s="23"/>
      <c r="F854" s="15" t="str">
        <f aca="false">IF(B854="","",IFERROR(INDEX(Configurações!$B$7:$B$30,MATCH(B854,Configurações!$A$7:$A$30,0)),"?"))</f>
        <v/>
      </c>
      <c r="G854" s="25" t="str">
        <f aca="false">IF(A854="","",A854-WEEKDAY(A854,2)+1)</f>
        <v/>
      </c>
      <c r="H854" s="26" t="str">
        <f aca="false">IF(A854="","",DATE(YEAR(A854),MONTH(A854),1))</f>
        <v/>
      </c>
    </row>
    <row r="855" customFormat="false" ht="15" hidden="false" customHeight="false" outlineLevel="0" collapsed="false">
      <c r="A855" s="22"/>
      <c r="B855" s="23"/>
      <c r="C855" s="23"/>
      <c r="D855" s="24"/>
      <c r="E855" s="23"/>
      <c r="F855" s="15" t="str">
        <f aca="false">IF(B855="","",IFERROR(INDEX(Configurações!$B$7:$B$30,MATCH(B855,Configurações!$A$7:$A$30,0)),"?"))</f>
        <v/>
      </c>
      <c r="G855" s="25" t="str">
        <f aca="false">IF(A855="","",A855-WEEKDAY(A855,2)+1)</f>
        <v/>
      </c>
      <c r="H855" s="26" t="str">
        <f aca="false">IF(A855="","",DATE(YEAR(A855),MONTH(A855),1))</f>
        <v/>
      </c>
    </row>
    <row r="856" customFormat="false" ht="15" hidden="false" customHeight="false" outlineLevel="0" collapsed="false">
      <c r="A856" s="22"/>
      <c r="B856" s="23"/>
      <c r="C856" s="23"/>
      <c r="D856" s="24"/>
      <c r="E856" s="23"/>
      <c r="F856" s="15" t="str">
        <f aca="false">IF(B856="","",IFERROR(INDEX(Configurações!$B$7:$B$30,MATCH(B856,Configurações!$A$7:$A$30,0)),"?"))</f>
        <v/>
      </c>
      <c r="G856" s="25" t="str">
        <f aca="false">IF(A856="","",A856-WEEKDAY(A856,2)+1)</f>
        <v/>
      </c>
      <c r="H856" s="26" t="str">
        <f aca="false">IF(A856="","",DATE(YEAR(A856),MONTH(A856),1))</f>
        <v/>
      </c>
    </row>
    <row r="857" customFormat="false" ht="15" hidden="false" customHeight="false" outlineLevel="0" collapsed="false">
      <c r="A857" s="22"/>
      <c r="B857" s="23"/>
      <c r="C857" s="23"/>
      <c r="D857" s="24"/>
      <c r="E857" s="23"/>
      <c r="F857" s="15" t="str">
        <f aca="false">IF(B857="","",IFERROR(INDEX(Configurações!$B$7:$B$30,MATCH(B857,Configurações!$A$7:$A$30,0)),"?"))</f>
        <v/>
      </c>
      <c r="G857" s="25" t="str">
        <f aca="false">IF(A857="","",A857-WEEKDAY(A857,2)+1)</f>
        <v/>
      </c>
      <c r="H857" s="26" t="str">
        <f aca="false">IF(A857="","",DATE(YEAR(A857),MONTH(A857),1))</f>
        <v/>
      </c>
    </row>
    <row r="858" customFormat="false" ht="15" hidden="false" customHeight="false" outlineLevel="0" collapsed="false">
      <c r="A858" s="22"/>
      <c r="B858" s="23"/>
      <c r="C858" s="23"/>
      <c r="D858" s="24"/>
      <c r="E858" s="23"/>
      <c r="F858" s="15" t="str">
        <f aca="false">IF(B858="","",IFERROR(INDEX(Configurações!$B$7:$B$30,MATCH(B858,Configurações!$A$7:$A$30,0)),"?"))</f>
        <v/>
      </c>
      <c r="G858" s="25" t="str">
        <f aca="false">IF(A858="","",A858-WEEKDAY(A858,2)+1)</f>
        <v/>
      </c>
      <c r="H858" s="26" t="str">
        <f aca="false">IF(A858="","",DATE(YEAR(A858),MONTH(A858),1))</f>
        <v/>
      </c>
    </row>
    <row r="859" customFormat="false" ht="15" hidden="false" customHeight="false" outlineLevel="0" collapsed="false">
      <c r="A859" s="22"/>
      <c r="B859" s="23"/>
      <c r="C859" s="23"/>
      <c r="D859" s="24"/>
      <c r="E859" s="23"/>
      <c r="F859" s="15" t="str">
        <f aca="false">IF(B859="","",IFERROR(INDEX(Configurações!$B$7:$B$30,MATCH(B859,Configurações!$A$7:$A$30,0)),"?"))</f>
        <v/>
      </c>
      <c r="G859" s="25" t="str">
        <f aca="false">IF(A859="","",A859-WEEKDAY(A859,2)+1)</f>
        <v/>
      </c>
      <c r="H859" s="26" t="str">
        <f aca="false">IF(A859="","",DATE(YEAR(A859),MONTH(A859),1))</f>
        <v/>
      </c>
    </row>
    <row r="860" customFormat="false" ht="15" hidden="false" customHeight="false" outlineLevel="0" collapsed="false">
      <c r="A860" s="22"/>
      <c r="B860" s="23"/>
      <c r="C860" s="23"/>
      <c r="D860" s="24"/>
      <c r="E860" s="23"/>
      <c r="F860" s="15" t="str">
        <f aca="false">IF(B860="","",IFERROR(INDEX(Configurações!$B$7:$B$30,MATCH(B860,Configurações!$A$7:$A$30,0)),"?"))</f>
        <v/>
      </c>
      <c r="G860" s="25" t="str">
        <f aca="false">IF(A860="","",A860-WEEKDAY(A860,2)+1)</f>
        <v/>
      </c>
      <c r="H860" s="26" t="str">
        <f aca="false">IF(A860="","",DATE(YEAR(A860),MONTH(A860),1))</f>
        <v/>
      </c>
    </row>
    <row r="861" customFormat="false" ht="15" hidden="false" customHeight="false" outlineLevel="0" collapsed="false">
      <c r="A861" s="22"/>
      <c r="B861" s="23"/>
      <c r="C861" s="23"/>
      <c r="D861" s="24"/>
      <c r="E861" s="23"/>
      <c r="F861" s="15" t="str">
        <f aca="false">IF(B861="","",IFERROR(INDEX(Configurações!$B$7:$B$30,MATCH(B861,Configurações!$A$7:$A$30,0)),"?"))</f>
        <v/>
      </c>
      <c r="G861" s="25" t="str">
        <f aca="false">IF(A861="","",A861-WEEKDAY(A861,2)+1)</f>
        <v/>
      </c>
      <c r="H861" s="26" t="str">
        <f aca="false">IF(A861="","",DATE(YEAR(A861),MONTH(A861),1))</f>
        <v/>
      </c>
    </row>
    <row r="862" customFormat="false" ht="15" hidden="false" customHeight="false" outlineLevel="0" collapsed="false">
      <c r="A862" s="22"/>
      <c r="B862" s="23"/>
      <c r="C862" s="23"/>
      <c r="D862" s="24"/>
      <c r="E862" s="23"/>
      <c r="F862" s="15" t="str">
        <f aca="false">IF(B862="","",IFERROR(INDEX(Configurações!$B$7:$B$30,MATCH(B862,Configurações!$A$7:$A$30,0)),"?"))</f>
        <v/>
      </c>
      <c r="G862" s="25" t="str">
        <f aca="false">IF(A862="","",A862-WEEKDAY(A862,2)+1)</f>
        <v/>
      </c>
      <c r="H862" s="26" t="str">
        <f aca="false">IF(A862="","",DATE(YEAR(A862),MONTH(A862),1))</f>
        <v/>
      </c>
    </row>
    <row r="863" customFormat="false" ht="15" hidden="false" customHeight="false" outlineLevel="0" collapsed="false">
      <c r="A863" s="22"/>
      <c r="B863" s="23"/>
      <c r="C863" s="23"/>
      <c r="D863" s="24"/>
      <c r="E863" s="23"/>
      <c r="F863" s="15" t="str">
        <f aca="false">IF(B863="","",IFERROR(INDEX(Configurações!$B$7:$B$30,MATCH(B863,Configurações!$A$7:$A$30,0)),"?"))</f>
        <v/>
      </c>
      <c r="G863" s="25" t="str">
        <f aca="false">IF(A863="","",A863-WEEKDAY(A863,2)+1)</f>
        <v/>
      </c>
      <c r="H863" s="26" t="str">
        <f aca="false">IF(A863="","",DATE(YEAR(A863),MONTH(A863),1))</f>
        <v/>
      </c>
    </row>
    <row r="864" customFormat="false" ht="15" hidden="false" customHeight="false" outlineLevel="0" collapsed="false">
      <c r="A864" s="22"/>
      <c r="B864" s="23"/>
      <c r="C864" s="23"/>
      <c r="D864" s="24"/>
      <c r="E864" s="23"/>
      <c r="F864" s="15" t="str">
        <f aca="false">IF(B864="","",IFERROR(INDEX(Configurações!$B$7:$B$30,MATCH(B864,Configurações!$A$7:$A$30,0)),"?"))</f>
        <v/>
      </c>
      <c r="G864" s="25" t="str">
        <f aca="false">IF(A864="","",A864-WEEKDAY(A864,2)+1)</f>
        <v/>
      </c>
      <c r="H864" s="26" t="str">
        <f aca="false">IF(A864="","",DATE(YEAR(A864),MONTH(A864),1))</f>
        <v/>
      </c>
    </row>
    <row r="865" customFormat="false" ht="15" hidden="false" customHeight="false" outlineLevel="0" collapsed="false">
      <c r="A865" s="22"/>
      <c r="B865" s="23"/>
      <c r="C865" s="23"/>
      <c r="D865" s="24"/>
      <c r="E865" s="23"/>
      <c r="F865" s="15" t="str">
        <f aca="false">IF(B865="","",IFERROR(INDEX(Configurações!$B$7:$B$30,MATCH(B865,Configurações!$A$7:$A$30,0)),"?"))</f>
        <v/>
      </c>
      <c r="G865" s="25" t="str">
        <f aca="false">IF(A865="","",A865-WEEKDAY(A865,2)+1)</f>
        <v/>
      </c>
      <c r="H865" s="26" t="str">
        <f aca="false">IF(A865="","",DATE(YEAR(A865),MONTH(A865),1))</f>
        <v/>
      </c>
    </row>
    <row r="866" customFormat="false" ht="15" hidden="false" customHeight="false" outlineLevel="0" collapsed="false">
      <c r="A866" s="22"/>
      <c r="B866" s="23"/>
      <c r="C866" s="23"/>
      <c r="D866" s="24"/>
      <c r="E866" s="23"/>
      <c r="F866" s="15" t="str">
        <f aca="false">IF(B866="","",IFERROR(INDEX(Configurações!$B$7:$B$30,MATCH(B866,Configurações!$A$7:$A$30,0)),"?"))</f>
        <v/>
      </c>
      <c r="G866" s="25" t="str">
        <f aca="false">IF(A866="","",A866-WEEKDAY(A866,2)+1)</f>
        <v/>
      </c>
      <c r="H866" s="26" t="str">
        <f aca="false">IF(A866="","",DATE(YEAR(A866),MONTH(A866),1))</f>
        <v/>
      </c>
    </row>
    <row r="867" customFormat="false" ht="15" hidden="false" customHeight="false" outlineLevel="0" collapsed="false">
      <c r="A867" s="22"/>
      <c r="B867" s="23"/>
      <c r="C867" s="23"/>
      <c r="D867" s="24"/>
      <c r="E867" s="23"/>
      <c r="F867" s="15" t="str">
        <f aca="false">IF(B867="","",IFERROR(INDEX(Configurações!$B$7:$B$30,MATCH(B867,Configurações!$A$7:$A$30,0)),"?"))</f>
        <v/>
      </c>
      <c r="G867" s="25" t="str">
        <f aca="false">IF(A867="","",A867-WEEKDAY(A867,2)+1)</f>
        <v/>
      </c>
      <c r="H867" s="26" t="str">
        <f aca="false">IF(A867="","",DATE(YEAR(A867),MONTH(A867),1))</f>
        <v/>
      </c>
    </row>
    <row r="868" customFormat="false" ht="15" hidden="false" customHeight="false" outlineLevel="0" collapsed="false">
      <c r="A868" s="22"/>
      <c r="B868" s="23"/>
      <c r="C868" s="23"/>
      <c r="D868" s="24"/>
      <c r="E868" s="23"/>
      <c r="F868" s="15" t="str">
        <f aca="false">IF(B868="","",IFERROR(INDEX(Configurações!$B$7:$B$30,MATCH(B868,Configurações!$A$7:$A$30,0)),"?"))</f>
        <v/>
      </c>
      <c r="G868" s="25" t="str">
        <f aca="false">IF(A868="","",A868-WEEKDAY(A868,2)+1)</f>
        <v/>
      </c>
      <c r="H868" s="26" t="str">
        <f aca="false">IF(A868="","",DATE(YEAR(A868),MONTH(A868),1))</f>
        <v/>
      </c>
    </row>
    <row r="869" customFormat="false" ht="15" hidden="false" customHeight="false" outlineLevel="0" collapsed="false">
      <c r="A869" s="22"/>
      <c r="B869" s="23"/>
      <c r="C869" s="23"/>
      <c r="D869" s="24"/>
      <c r="E869" s="23"/>
      <c r="F869" s="15" t="str">
        <f aca="false">IF(B869="","",IFERROR(INDEX(Configurações!$B$7:$B$30,MATCH(B869,Configurações!$A$7:$A$30,0)),"?"))</f>
        <v/>
      </c>
      <c r="G869" s="25" t="str">
        <f aca="false">IF(A869="","",A869-WEEKDAY(A869,2)+1)</f>
        <v/>
      </c>
      <c r="H869" s="26" t="str">
        <f aca="false">IF(A869="","",DATE(YEAR(A869),MONTH(A869),1))</f>
        <v/>
      </c>
    </row>
    <row r="870" customFormat="false" ht="15" hidden="false" customHeight="false" outlineLevel="0" collapsed="false">
      <c r="A870" s="22"/>
      <c r="B870" s="23"/>
      <c r="C870" s="23"/>
      <c r="D870" s="24"/>
      <c r="E870" s="23"/>
      <c r="F870" s="15" t="str">
        <f aca="false">IF(B870="","",IFERROR(INDEX(Configurações!$B$7:$B$30,MATCH(B870,Configurações!$A$7:$A$30,0)),"?"))</f>
        <v/>
      </c>
      <c r="G870" s="25" t="str">
        <f aca="false">IF(A870="","",A870-WEEKDAY(A870,2)+1)</f>
        <v/>
      </c>
      <c r="H870" s="26" t="str">
        <f aca="false">IF(A870="","",DATE(YEAR(A870),MONTH(A870),1))</f>
        <v/>
      </c>
    </row>
    <row r="871" customFormat="false" ht="15" hidden="false" customHeight="false" outlineLevel="0" collapsed="false">
      <c r="A871" s="22"/>
      <c r="B871" s="23"/>
      <c r="C871" s="23"/>
      <c r="D871" s="24"/>
      <c r="E871" s="23"/>
      <c r="F871" s="15" t="str">
        <f aca="false">IF(B871="","",IFERROR(INDEX(Configurações!$B$7:$B$30,MATCH(B871,Configurações!$A$7:$A$30,0)),"?"))</f>
        <v/>
      </c>
      <c r="G871" s="25" t="str">
        <f aca="false">IF(A871="","",A871-WEEKDAY(A871,2)+1)</f>
        <v/>
      </c>
      <c r="H871" s="26" t="str">
        <f aca="false">IF(A871="","",DATE(YEAR(A871),MONTH(A871),1))</f>
        <v/>
      </c>
    </row>
    <row r="872" customFormat="false" ht="15" hidden="false" customHeight="false" outlineLevel="0" collapsed="false">
      <c r="A872" s="22"/>
      <c r="B872" s="23"/>
      <c r="C872" s="23"/>
      <c r="D872" s="24"/>
      <c r="E872" s="23"/>
      <c r="F872" s="15" t="str">
        <f aca="false">IF(B872="","",IFERROR(INDEX(Configurações!$B$7:$B$30,MATCH(B872,Configurações!$A$7:$A$30,0)),"?"))</f>
        <v/>
      </c>
      <c r="G872" s="25" t="str">
        <f aca="false">IF(A872="","",A872-WEEKDAY(A872,2)+1)</f>
        <v/>
      </c>
      <c r="H872" s="26" t="str">
        <f aca="false">IF(A872="","",DATE(YEAR(A872),MONTH(A872),1))</f>
        <v/>
      </c>
    </row>
    <row r="873" customFormat="false" ht="15" hidden="false" customHeight="false" outlineLevel="0" collapsed="false">
      <c r="A873" s="22"/>
      <c r="B873" s="23"/>
      <c r="C873" s="23"/>
      <c r="D873" s="24"/>
      <c r="E873" s="23"/>
      <c r="F873" s="15" t="str">
        <f aca="false">IF(B873="","",IFERROR(INDEX(Configurações!$B$7:$B$30,MATCH(B873,Configurações!$A$7:$A$30,0)),"?"))</f>
        <v/>
      </c>
      <c r="G873" s="25" t="str">
        <f aca="false">IF(A873="","",A873-WEEKDAY(A873,2)+1)</f>
        <v/>
      </c>
      <c r="H873" s="26" t="str">
        <f aca="false">IF(A873="","",DATE(YEAR(A873),MONTH(A873),1))</f>
        <v/>
      </c>
    </row>
    <row r="874" customFormat="false" ht="15" hidden="false" customHeight="false" outlineLevel="0" collapsed="false">
      <c r="A874" s="22"/>
      <c r="B874" s="23"/>
      <c r="C874" s="23"/>
      <c r="D874" s="24"/>
      <c r="E874" s="23"/>
      <c r="F874" s="15" t="str">
        <f aca="false">IF(B874="","",IFERROR(INDEX(Configurações!$B$7:$B$30,MATCH(B874,Configurações!$A$7:$A$30,0)),"?"))</f>
        <v/>
      </c>
      <c r="G874" s="25" t="str">
        <f aca="false">IF(A874="","",A874-WEEKDAY(A874,2)+1)</f>
        <v/>
      </c>
      <c r="H874" s="26" t="str">
        <f aca="false">IF(A874="","",DATE(YEAR(A874),MONTH(A874),1))</f>
        <v/>
      </c>
    </row>
    <row r="875" customFormat="false" ht="15" hidden="false" customHeight="false" outlineLevel="0" collapsed="false">
      <c r="A875" s="22"/>
      <c r="B875" s="23"/>
      <c r="C875" s="23"/>
      <c r="D875" s="24"/>
      <c r="E875" s="23"/>
      <c r="F875" s="15" t="str">
        <f aca="false">IF(B875="","",IFERROR(INDEX(Configurações!$B$7:$B$30,MATCH(B875,Configurações!$A$7:$A$30,0)),"?"))</f>
        <v/>
      </c>
      <c r="G875" s="25" t="str">
        <f aca="false">IF(A875="","",A875-WEEKDAY(A875,2)+1)</f>
        <v/>
      </c>
      <c r="H875" s="26" t="str">
        <f aca="false">IF(A875="","",DATE(YEAR(A875),MONTH(A875),1))</f>
        <v/>
      </c>
    </row>
    <row r="876" customFormat="false" ht="15" hidden="false" customHeight="false" outlineLevel="0" collapsed="false">
      <c r="A876" s="22"/>
      <c r="B876" s="23"/>
      <c r="C876" s="23"/>
      <c r="D876" s="24"/>
      <c r="E876" s="23"/>
      <c r="F876" s="15" t="str">
        <f aca="false">IF(B876="","",IFERROR(INDEX(Configurações!$B$7:$B$30,MATCH(B876,Configurações!$A$7:$A$30,0)),"?"))</f>
        <v/>
      </c>
      <c r="G876" s="25" t="str">
        <f aca="false">IF(A876="","",A876-WEEKDAY(A876,2)+1)</f>
        <v/>
      </c>
      <c r="H876" s="26" t="str">
        <f aca="false">IF(A876="","",DATE(YEAR(A876),MONTH(A876),1))</f>
        <v/>
      </c>
    </row>
    <row r="877" customFormat="false" ht="15" hidden="false" customHeight="false" outlineLevel="0" collapsed="false">
      <c r="A877" s="22"/>
      <c r="B877" s="23"/>
      <c r="C877" s="23"/>
      <c r="D877" s="24"/>
      <c r="E877" s="23"/>
      <c r="F877" s="15" t="str">
        <f aca="false">IF(B877="","",IFERROR(INDEX(Configurações!$B$7:$B$30,MATCH(B877,Configurações!$A$7:$A$30,0)),"?"))</f>
        <v/>
      </c>
      <c r="G877" s="25" t="str">
        <f aca="false">IF(A877="","",A877-WEEKDAY(A877,2)+1)</f>
        <v/>
      </c>
      <c r="H877" s="26" t="str">
        <f aca="false">IF(A877="","",DATE(YEAR(A877),MONTH(A877),1))</f>
        <v/>
      </c>
    </row>
    <row r="878" customFormat="false" ht="15" hidden="false" customHeight="false" outlineLevel="0" collapsed="false">
      <c r="A878" s="22"/>
      <c r="B878" s="23"/>
      <c r="C878" s="23"/>
      <c r="D878" s="24"/>
      <c r="E878" s="23"/>
      <c r="F878" s="15" t="str">
        <f aca="false">IF(B878="","",IFERROR(INDEX(Configurações!$B$7:$B$30,MATCH(B878,Configurações!$A$7:$A$30,0)),"?"))</f>
        <v/>
      </c>
      <c r="G878" s="25" t="str">
        <f aca="false">IF(A878="","",A878-WEEKDAY(A878,2)+1)</f>
        <v/>
      </c>
      <c r="H878" s="26" t="str">
        <f aca="false">IF(A878="","",DATE(YEAR(A878),MONTH(A878),1))</f>
        <v/>
      </c>
    </row>
    <row r="879" customFormat="false" ht="15" hidden="false" customHeight="false" outlineLevel="0" collapsed="false">
      <c r="A879" s="22"/>
      <c r="B879" s="23"/>
      <c r="C879" s="23"/>
      <c r="D879" s="24"/>
      <c r="E879" s="23"/>
      <c r="F879" s="15" t="str">
        <f aca="false">IF(B879="","",IFERROR(INDEX(Configurações!$B$7:$B$30,MATCH(B879,Configurações!$A$7:$A$30,0)),"?"))</f>
        <v/>
      </c>
      <c r="G879" s="25" t="str">
        <f aca="false">IF(A879="","",A879-WEEKDAY(A879,2)+1)</f>
        <v/>
      </c>
      <c r="H879" s="26" t="str">
        <f aca="false">IF(A879="","",DATE(YEAR(A879),MONTH(A879),1))</f>
        <v/>
      </c>
    </row>
    <row r="880" customFormat="false" ht="15" hidden="false" customHeight="false" outlineLevel="0" collapsed="false">
      <c r="A880" s="22"/>
      <c r="B880" s="23"/>
      <c r="C880" s="23"/>
      <c r="D880" s="24"/>
      <c r="E880" s="23"/>
      <c r="F880" s="15" t="str">
        <f aca="false">IF(B880="","",IFERROR(INDEX(Configurações!$B$7:$B$30,MATCH(B880,Configurações!$A$7:$A$30,0)),"?"))</f>
        <v/>
      </c>
      <c r="G880" s="25" t="str">
        <f aca="false">IF(A880="","",A880-WEEKDAY(A880,2)+1)</f>
        <v/>
      </c>
      <c r="H880" s="26" t="str">
        <f aca="false">IF(A880="","",DATE(YEAR(A880),MONTH(A880),1))</f>
        <v/>
      </c>
    </row>
    <row r="881" customFormat="false" ht="15" hidden="false" customHeight="false" outlineLevel="0" collapsed="false">
      <c r="A881" s="22"/>
      <c r="B881" s="23"/>
      <c r="C881" s="23"/>
      <c r="D881" s="24"/>
      <c r="E881" s="23"/>
      <c r="F881" s="15" t="str">
        <f aca="false">IF(B881="","",IFERROR(INDEX(Configurações!$B$7:$B$30,MATCH(B881,Configurações!$A$7:$A$30,0)),"?"))</f>
        <v/>
      </c>
      <c r="G881" s="25" t="str">
        <f aca="false">IF(A881="","",A881-WEEKDAY(A881,2)+1)</f>
        <v/>
      </c>
      <c r="H881" s="26" t="str">
        <f aca="false">IF(A881="","",DATE(YEAR(A881),MONTH(A881),1))</f>
        <v/>
      </c>
    </row>
    <row r="882" customFormat="false" ht="15" hidden="false" customHeight="false" outlineLevel="0" collapsed="false">
      <c r="A882" s="22"/>
      <c r="B882" s="23"/>
      <c r="C882" s="23"/>
      <c r="D882" s="24"/>
      <c r="E882" s="23"/>
      <c r="F882" s="15" t="str">
        <f aca="false">IF(B882="","",IFERROR(INDEX(Configurações!$B$7:$B$30,MATCH(B882,Configurações!$A$7:$A$30,0)),"?"))</f>
        <v/>
      </c>
      <c r="G882" s="25" t="str">
        <f aca="false">IF(A882="","",A882-WEEKDAY(A882,2)+1)</f>
        <v/>
      </c>
      <c r="H882" s="26" t="str">
        <f aca="false">IF(A882="","",DATE(YEAR(A882),MONTH(A882),1))</f>
        <v/>
      </c>
    </row>
    <row r="883" customFormat="false" ht="15" hidden="false" customHeight="false" outlineLevel="0" collapsed="false">
      <c r="A883" s="22"/>
      <c r="B883" s="23"/>
      <c r="C883" s="23"/>
      <c r="D883" s="24"/>
      <c r="E883" s="23"/>
      <c r="F883" s="15" t="str">
        <f aca="false">IF(B883="","",IFERROR(INDEX(Configurações!$B$7:$B$30,MATCH(B883,Configurações!$A$7:$A$30,0)),"?"))</f>
        <v/>
      </c>
      <c r="G883" s="25" t="str">
        <f aca="false">IF(A883="","",A883-WEEKDAY(A883,2)+1)</f>
        <v/>
      </c>
      <c r="H883" s="26" t="str">
        <f aca="false">IF(A883="","",DATE(YEAR(A883),MONTH(A883),1))</f>
        <v/>
      </c>
    </row>
    <row r="884" customFormat="false" ht="15" hidden="false" customHeight="false" outlineLevel="0" collapsed="false">
      <c r="A884" s="22"/>
      <c r="B884" s="23"/>
      <c r="C884" s="23"/>
      <c r="D884" s="24"/>
      <c r="E884" s="23"/>
      <c r="F884" s="15" t="str">
        <f aca="false">IF(B884="","",IFERROR(INDEX(Configurações!$B$7:$B$30,MATCH(B884,Configurações!$A$7:$A$30,0)),"?"))</f>
        <v/>
      </c>
      <c r="G884" s="25" t="str">
        <f aca="false">IF(A884="","",A884-WEEKDAY(A884,2)+1)</f>
        <v/>
      </c>
      <c r="H884" s="26" t="str">
        <f aca="false">IF(A884="","",DATE(YEAR(A884),MONTH(A884),1))</f>
        <v/>
      </c>
    </row>
    <row r="885" customFormat="false" ht="15" hidden="false" customHeight="false" outlineLevel="0" collapsed="false">
      <c r="A885" s="22"/>
      <c r="B885" s="23"/>
      <c r="C885" s="23"/>
      <c r="D885" s="24"/>
      <c r="E885" s="23"/>
      <c r="F885" s="15" t="str">
        <f aca="false">IF(B885="","",IFERROR(INDEX(Configurações!$B$7:$B$30,MATCH(B885,Configurações!$A$7:$A$30,0)),"?"))</f>
        <v/>
      </c>
      <c r="G885" s="25" t="str">
        <f aca="false">IF(A885="","",A885-WEEKDAY(A885,2)+1)</f>
        <v/>
      </c>
      <c r="H885" s="26" t="str">
        <f aca="false">IF(A885="","",DATE(YEAR(A885),MONTH(A885),1))</f>
        <v/>
      </c>
    </row>
    <row r="886" customFormat="false" ht="15" hidden="false" customHeight="false" outlineLevel="0" collapsed="false">
      <c r="A886" s="22"/>
      <c r="B886" s="23"/>
      <c r="C886" s="23"/>
      <c r="D886" s="24"/>
      <c r="E886" s="23"/>
      <c r="F886" s="15" t="str">
        <f aca="false">IF(B886="","",IFERROR(INDEX(Configurações!$B$7:$B$30,MATCH(B886,Configurações!$A$7:$A$30,0)),"?"))</f>
        <v/>
      </c>
      <c r="G886" s="25" t="str">
        <f aca="false">IF(A886="","",A886-WEEKDAY(A886,2)+1)</f>
        <v/>
      </c>
      <c r="H886" s="26" t="str">
        <f aca="false">IF(A886="","",DATE(YEAR(A886),MONTH(A886),1))</f>
        <v/>
      </c>
    </row>
    <row r="887" customFormat="false" ht="15" hidden="false" customHeight="false" outlineLevel="0" collapsed="false">
      <c r="A887" s="22"/>
      <c r="B887" s="23"/>
      <c r="C887" s="23"/>
      <c r="D887" s="24"/>
      <c r="E887" s="23"/>
      <c r="F887" s="15" t="str">
        <f aca="false">IF(B887="","",IFERROR(INDEX(Configurações!$B$7:$B$30,MATCH(B887,Configurações!$A$7:$A$30,0)),"?"))</f>
        <v/>
      </c>
      <c r="G887" s="25" t="str">
        <f aca="false">IF(A887="","",A887-WEEKDAY(A887,2)+1)</f>
        <v/>
      </c>
      <c r="H887" s="26" t="str">
        <f aca="false">IF(A887="","",DATE(YEAR(A887),MONTH(A887),1))</f>
        <v/>
      </c>
    </row>
    <row r="888" customFormat="false" ht="15" hidden="false" customHeight="false" outlineLevel="0" collapsed="false">
      <c r="A888" s="22"/>
      <c r="B888" s="23"/>
      <c r="C888" s="23"/>
      <c r="D888" s="24"/>
      <c r="E888" s="23"/>
      <c r="F888" s="15" t="str">
        <f aca="false">IF(B888="","",IFERROR(INDEX(Configurações!$B$7:$B$30,MATCH(B888,Configurações!$A$7:$A$30,0)),"?"))</f>
        <v/>
      </c>
      <c r="G888" s="25" t="str">
        <f aca="false">IF(A888="","",A888-WEEKDAY(A888,2)+1)</f>
        <v/>
      </c>
      <c r="H888" s="26" t="str">
        <f aca="false">IF(A888="","",DATE(YEAR(A888),MONTH(A888),1))</f>
        <v/>
      </c>
    </row>
    <row r="889" customFormat="false" ht="15" hidden="false" customHeight="false" outlineLevel="0" collapsed="false">
      <c r="A889" s="22"/>
      <c r="B889" s="23"/>
      <c r="C889" s="23"/>
      <c r="D889" s="24"/>
      <c r="E889" s="23"/>
      <c r="F889" s="15" t="str">
        <f aca="false">IF(B889="","",IFERROR(INDEX(Configurações!$B$7:$B$30,MATCH(B889,Configurações!$A$7:$A$30,0)),"?"))</f>
        <v/>
      </c>
      <c r="G889" s="25" t="str">
        <f aca="false">IF(A889="","",A889-WEEKDAY(A889,2)+1)</f>
        <v/>
      </c>
      <c r="H889" s="26" t="str">
        <f aca="false">IF(A889="","",DATE(YEAR(A889),MONTH(A889),1))</f>
        <v/>
      </c>
    </row>
    <row r="890" customFormat="false" ht="15" hidden="false" customHeight="false" outlineLevel="0" collapsed="false">
      <c r="A890" s="22"/>
      <c r="B890" s="23"/>
      <c r="C890" s="23"/>
      <c r="D890" s="24"/>
      <c r="E890" s="23"/>
      <c r="F890" s="15" t="str">
        <f aca="false">IF(B890="","",IFERROR(INDEX(Configurações!$B$7:$B$30,MATCH(B890,Configurações!$A$7:$A$30,0)),"?"))</f>
        <v/>
      </c>
      <c r="G890" s="25" t="str">
        <f aca="false">IF(A890="","",A890-WEEKDAY(A890,2)+1)</f>
        <v/>
      </c>
      <c r="H890" s="26" t="str">
        <f aca="false">IF(A890="","",DATE(YEAR(A890),MONTH(A890),1))</f>
        <v/>
      </c>
    </row>
    <row r="891" customFormat="false" ht="15" hidden="false" customHeight="false" outlineLevel="0" collapsed="false">
      <c r="A891" s="22"/>
      <c r="B891" s="23"/>
      <c r="C891" s="23"/>
      <c r="D891" s="24"/>
      <c r="E891" s="23"/>
      <c r="F891" s="15" t="str">
        <f aca="false">IF(B891="","",IFERROR(INDEX(Configurações!$B$7:$B$30,MATCH(B891,Configurações!$A$7:$A$30,0)),"?"))</f>
        <v/>
      </c>
      <c r="G891" s="25" t="str">
        <f aca="false">IF(A891="","",A891-WEEKDAY(A891,2)+1)</f>
        <v/>
      </c>
      <c r="H891" s="26" t="str">
        <f aca="false">IF(A891="","",DATE(YEAR(A891),MONTH(A891),1))</f>
        <v/>
      </c>
    </row>
    <row r="892" customFormat="false" ht="15" hidden="false" customHeight="false" outlineLevel="0" collapsed="false">
      <c r="A892" s="22"/>
      <c r="B892" s="23"/>
      <c r="C892" s="23"/>
      <c r="D892" s="24"/>
      <c r="E892" s="23"/>
      <c r="F892" s="15" t="str">
        <f aca="false">IF(B892="","",IFERROR(INDEX(Configurações!$B$7:$B$30,MATCH(B892,Configurações!$A$7:$A$30,0)),"?"))</f>
        <v/>
      </c>
      <c r="G892" s="25" t="str">
        <f aca="false">IF(A892="","",A892-WEEKDAY(A892,2)+1)</f>
        <v/>
      </c>
      <c r="H892" s="26" t="str">
        <f aca="false">IF(A892="","",DATE(YEAR(A892),MONTH(A892),1))</f>
        <v/>
      </c>
    </row>
    <row r="893" customFormat="false" ht="15" hidden="false" customHeight="false" outlineLevel="0" collapsed="false">
      <c r="A893" s="22"/>
      <c r="B893" s="23"/>
      <c r="C893" s="23"/>
      <c r="D893" s="24"/>
      <c r="E893" s="23"/>
      <c r="F893" s="15" t="str">
        <f aca="false">IF(B893="","",IFERROR(INDEX(Configurações!$B$7:$B$30,MATCH(B893,Configurações!$A$7:$A$30,0)),"?"))</f>
        <v/>
      </c>
      <c r="G893" s="25" t="str">
        <f aca="false">IF(A893="","",A893-WEEKDAY(A893,2)+1)</f>
        <v/>
      </c>
      <c r="H893" s="26" t="str">
        <f aca="false">IF(A893="","",DATE(YEAR(A893),MONTH(A893),1))</f>
        <v/>
      </c>
    </row>
    <row r="894" customFormat="false" ht="15" hidden="false" customHeight="false" outlineLevel="0" collapsed="false">
      <c r="A894" s="22"/>
      <c r="B894" s="23"/>
      <c r="C894" s="23"/>
      <c r="D894" s="24"/>
      <c r="E894" s="23"/>
      <c r="F894" s="15" t="str">
        <f aca="false">IF(B894="","",IFERROR(INDEX(Configurações!$B$7:$B$30,MATCH(B894,Configurações!$A$7:$A$30,0)),"?"))</f>
        <v/>
      </c>
      <c r="G894" s="25" t="str">
        <f aca="false">IF(A894="","",A894-WEEKDAY(A894,2)+1)</f>
        <v/>
      </c>
      <c r="H894" s="26" t="str">
        <f aca="false">IF(A894="","",DATE(YEAR(A894),MONTH(A894),1))</f>
        <v/>
      </c>
    </row>
    <row r="895" customFormat="false" ht="15" hidden="false" customHeight="false" outlineLevel="0" collapsed="false">
      <c r="A895" s="22"/>
      <c r="B895" s="23"/>
      <c r="C895" s="23"/>
      <c r="D895" s="24"/>
      <c r="E895" s="23"/>
      <c r="F895" s="15" t="str">
        <f aca="false">IF(B895="","",IFERROR(INDEX(Configurações!$B$7:$B$30,MATCH(B895,Configurações!$A$7:$A$30,0)),"?"))</f>
        <v/>
      </c>
      <c r="G895" s="25" t="str">
        <f aca="false">IF(A895="","",A895-WEEKDAY(A895,2)+1)</f>
        <v/>
      </c>
      <c r="H895" s="26" t="str">
        <f aca="false">IF(A895="","",DATE(YEAR(A895),MONTH(A895),1))</f>
        <v/>
      </c>
    </row>
    <row r="896" customFormat="false" ht="15" hidden="false" customHeight="false" outlineLevel="0" collapsed="false">
      <c r="A896" s="22"/>
      <c r="B896" s="23"/>
      <c r="C896" s="23"/>
      <c r="D896" s="24"/>
      <c r="E896" s="23"/>
      <c r="F896" s="15" t="str">
        <f aca="false">IF(B896="","",IFERROR(INDEX(Configurações!$B$7:$B$30,MATCH(B896,Configurações!$A$7:$A$30,0)),"?"))</f>
        <v/>
      </c>
      <c r="G896" s="25" t="str">
        <f aca="false">IF(A896="","",A896-WEEKDAY(A896,2)+1)</f>
        <v/>
      </c>
      <c r="H896" s="26" t="str">
        <f aca="false">IF(A896="","",DATE(YEAR(A896),MONTH(A896),1))</f>
        <v/>
      </c>
    </row>
    <row r="897" customFormat="false" ht="15" hidden="false" customHeight="false" outlineLevel="0" collapsed="false">
      <c r="A897" s="22"/>
      <c r="B897" s="23"/>
      <c r="C897" s="23"/>
      <c r="D897" s="24"/>
      <c r="E897" s="23"/>
      <c r="F897" s="15" t="str">
        <f aca="false">IF(B897="","",IFERROR(INDEX(Configurações!$B$7:$B$30,MATCH(B897,Configurações!$A$7:$A$30,0)),"?"))</f>
        <v/>
      </c>
      <c r="G897" s="25" t="str">
        <f aca="false">IF(A897="","",A897-WEEKDAY(A897,2)+1)</f>
        <v/>
      </c>
      <c r="H897" s="26" t="str">
        <f aca="false">IF(A897="","",DATE(YEAR(A897),MONTH(A897),1))</f>
        <v/>
      </c>
    </row>
    <row r="898" customFormat="false" ht="15" hidden="false" customHeight="false" outlineLevel="0" collapsed="false">
      <c r="A898" s="22"/>
      <c r="B898" s="23"/>
      <c r="C898" s="23"/>
      <c r="D898" s="24"/>
      <c r="E898" s="23"/>
      <c r="F898" s="15" t="str">
        <f aca="false">IF(B898="","",IFERROR(INDEX(Configurações!$B$7:$B$30,MATCH(B898,Configurações!$A$7:$A$30,0)),"?"))</f>
        <v/>
      </c>
      <c r="G898" s="25" t="str">
        <f aca="false">IF(A898="","",A898-WEEKDAY(A898,2)+1)</f>
        <v/>
      </c>
      <c r="H898" s="26" t="str">
        <f aca="false">IF(A898="","",DATE(YEAR(A898),MONTH(A898),1))</f>
        <v/>
      </c>
    </row>
    <row r="899" customFormat="false" ht="15" hidden="false" customHeight="false" outlineLevel="0" collapsed="false">
      <c r="A899" s="22"/>
      <c r="B899" s="23"/>
      <c r="C899" s="23"/>
      <c r="D899" s="24"/>
      <c r="E899" s="23"/>
      <c r="F899" s="15" t="str">
        <f aca="false">IF(B899="","",IFERROR(INDEX(Configurações!$B$7:$B$30,MATCH(B899,Configurações!$A$7:$A$30,0)),"?"))</f>
        <v/>
      </c>
      <c r="G899" s="25" t="str">
        <f aca="false">IF(A899="","",A899-WEEKDAY(A899,2)+1)</f>
        <v/>
      </c>
      <c r="H899" s="26" t="str">
        <f aca="false">IF(A899="","",DATE(YEAR(A899),MONTH(A899),1))</f>
        <v/>
      </c>
    </row>
    <row r="900" customFormat="false" ht="15" hidden="false" customHeight="false" outlineLevel="0" collapsed="false">
      <c r="A900" s="22"/>
      <c r="B900" s="23"/>
      <c r="C900" s="23"/>
      <c r="D900" s="24"/>
      <c r="E900" s="23"/>
      <c r="F900" s="15" t="str">
        <f aca="false">IF(B900="","",IFERROR(INDEX(Configurações!$B$7:$B$30,MATCH(B900,Configurações!$A$7:$A$30,0)),"?"))</f>
        <v/>
      </c>
      <c r="G900" s="25" t="str">
        <f aca="false">IF(A900="","",A900-WEEKDAY(A900,2)+1)</f>
        <v/>
      </c>
      <c r="H900" s="26" t="str">
        <f aca="false">IF(A900="","",DATE(YEAR(A900),MONTH(A900),1))</f>
        <v/>
      </c>
    </row>
    <row r="901" customFormat="false" ht="15" hidden="false" customHeight="false" outlineLevel="0" collapsed="false">
      <c r="A901" s="22"/>
      <c r="B901" s="23"/>
      <c r="C901" s="23"/>
      <c r="D901" s="24"/>
      <c r="E901" s="23"/>
      <c r="F901" s="15" t="str">
        <f aca="false">IF(B901="","",IFERROR(INDEX(Configurações!$B$7:$B$30,MATCH(B901,Configurações!$A$7:$A$30,0)),"?"))</f>
        <v/>
      </c>
      <c r="G901" s="25" t="str">
        <f aca="false">IF(A901="","",A901-WEEKDAY(A901,2)+1)</f>
        <v/>
      </c>
      <c r="H901" s="26" t="str">
        <f aca="false">IF(A901="","",DATE(YEAR(A901),MONTH(A901),1))</f>
        <v/>
      </c>
    </row>
    <row r="902" customFormat="false" ht="15" hidden="false" customHeight="false" outlineLevel="0" collapsed="false">
      <c r="A902" s="22"/>
      <c r="B902" s="23"/>
      <c r="C902" s="23"/>
      <c r="D902" s="24"/>
      <c r="E902" s="23"/>
      <c r="F902" s="15" t="str">
        <f aca="false">IF(B902="","",IFERROR(INDEX(Configurações!$B$7:$B$30,MATCH(B902,Configurações!$A$7:$A$30,0)),"?"))</f>
        <v/>
      </c>
      <c r="G902" s="25" t="str">
        <f aca="false">IF(A902="","",A902-WEEKDAY(A902,2)+1)</f>
        <v/>
      </c>
      <c r="H902" s="26" t="str">
        <f aca="false">IF(A902="","",DATE(YEAR(A902),MONTH(A902),1))</f>
        <v/>
      </c>
    </row>
    <row r="903" customFormat="false" ht="15" hidden="false" customHeight="false" outlineLevel="0" collapsed="false">
      <c r="A903" s="22"/>
      <c r="B903" s="23"/>
      <c r="C903" s="23"/>
      <c r="D903" s="24"/>
      <c r="E903" s="23"/>
      <c r="F903" s="15" t="str">
        <f aca="false">IF(B903="","",IFERROR(INDEX(Configurações!$B$7:$B$30,MATCH(B903,Configurações!$A$7:$A$30,0)),"?"))</f>
        <v/>
      </c>
      <c r="G903" s="25" t="str">
        <f aca="false">IF(A903="","",A903-WEEKDAY(A903,2)+1)</f>
        <v/>
      </c>
      <c r="H903" s="26" t="str">
        <f aca="false">IF(A903="","",DATE(YEAR(A903),MONTH(A903),1))</f>
        <v/>
      </c>
    </row>
    <row r="904" customFormat="false" ht="15" hidden="false" customHeight="false" outlineLevel="0" collapsed="false">
      <c r="A904" s="22"/>
      <c r="B904" s="23"/>
      <c r="C904" s="23"/>
      <c r="D904" s="24"/>
      <c r="E904" s="23"/>
      <c r="F904" s="15" t="str">
        <f aca="false">IF(B904="","",IFERROR(INDEX(Configurações!$B$7:$B$30,MATCH(B904,Configurações!$A$7:$A$30,0)),"?"))</f>
        <v/>
      </c>
      <c r="G904" s="25" t="str">
        <f aca="false">IF(A904="","",A904-WEEKDAY(A904,2)+1)</f>
        <v/>
      </c>
      <c r="H904" s="26" t="str">
        <f aca="false">IF(A904="","",DATE(YEAR(A904),MONTH(A904),1))</f>
        <v/>
      </c>
    </row>
    <row r="905" customFormat="false" ht="15" hidden="false" customHeight="false" outlineLevel="0" collapsed="false">
      <c r="A905" s="22"/>
      <c r="B905" s="23"/>
      <c r="C905" s="23"/>
      <c r="D905" s="24"/>
      <c r="E905" s="23"/>
      <c r="F905" s="15" t="str">
        <f aca="false">IF(B905="","",IFERROR(INDEX(Configurações!$B$7:$B$30,MATCH(B905,Configurações!$A$7:$A$30,0)),"?"))</f>
        <v/>
      </c>
      <c r="G905" s="25" t="str">
        <f aca="false">IF(A905="","",A905-WEEKDAY(A905,2)+1)</f>
        <v/>
      </c>
      <c r="H905" s="26" t="str">
        <f aca="false">IF(A905="","",DATE(YEAR(A905),MONTH(A905),1))</f>
        <v/>
      </c>
    </row>
    <row r="906" customFormat="false" ht="15" hidden="false" customHeight="false" outlineLevel="0" collapsed="false">
      <c r="A906" s="22"/>
      <c r="B906" s="23"/>
      <c r="C906" s="23"/>
      <c r="D906" s="24"/>
      <c r="E906" s="23"/>
      <c r="F906" s="15" t="str">
        <f aca="false">IF(B906="","",IFERROR(INDEX(Configurações!$B$7:$B$30,MATCH(B906,Configurações!$A$7:$A$30,0)),"?"))</f>
        <v/>
      </c>
      <c r="G906" s="25" t="str">
        <f aca="false">IF(A906="","",A906-WEEKDAY(A906,2)+1)</f>
        <v/>
      </c>
      <c r="H906" s="26" t="str">
        <f aca="false">IF(A906="","",DATE(YEAR(A906),MONTH(A906),1))</f>
        <v/>
      </c>
    </row>
    <row r="907" customFormat="false" ht="15" hidden="false" customHeight="false" outlineLevel="0" collapsed="false">
      <c r="A907" s="22"/>
      <c r="B907" s="23"/>
      <c r="C907" s="23"/>
      <c r="D907" s="24"/>
      <c r="E907" s="23"/>
      <c r="F907" s="15" t="str">
        <f aca="false">IF(B907="","",IFERROR(INDEX(Configurações!$B$7:$B$30,MATCH(B907,Configurações!$A$7:$A$30,0)),"?"))</f>
        <v/>
      </c>
      <c r="G907" s="25" t="str">
        <f aca="false">IF(A907="","",A907-WEEKDAY(A907,2)+1)</f>
        <v/>
      </c>
      <c r="H907" s="26" t="str">
        <f aca="false">IF(A907="","",DATE(YEAR(A907),MONTH(A907),1))</f>
        <v/>
      </c>
    </row>
    <row r="908" customFormat="false" ht="15" hidden="false" customHeight="false" outlineLevel="0" collapsed="false">
      <c r="A908" s="22"/>
      <c r="B908" s="23"/>
      <c r="C908" s="23"/>
      <c r="D908" s="24"/>
      <c r="E908" s="23"/>
      <c r="F908" s="15" t="str">
        <f aca="false">IF(B908="","",IFERROR(INDEX(Configurações!$B$7:$B$30,MATCH(B908,Configurações!$A$7:$A$30,0)),"?"))</f>
        <v/>
      </c>
      <c r="G908" s="25" t="str">
        <f aca="false">IF(A908="","",A908-WEEKDAY(A908,2)+1)</f>
        <v/>
      </c>
      <c r="H908" s="26" t="str">
        <f aca="false">IF(A908="","",DATE(YEAR(A908),MONTH(A908),1))</f>
        <v/>
      </c>
    </row>
    <row r="909" customFormat="false" ht="15" hidden="false" customHeight="false" outlineLevel="0" collapsed="false">
      <c r="A909" s="22"/>
      <c r="B909" s="23"/>
      <c r="C909" s="23"/>
      <c r="D909" s="24"/>
      <c r="E909" s="23"/>
      <c r="F909" s="15" t="str">
        <f aca="false">IF(B909="","",IFERROR(INDEX(Configurações!$B$7:$B$30,MATCH(B909,Configurações!$A$7:$A$30,0)),"?"))</f>
        <v/>
      </c>
      <c r="G909" s="25" t="str">
        <f aca="false">IF(A909="","",A909-WEEKDAY(A909,2)+1)</f>
        <v/>
      </c>
      <c r="H909" s="26" t="str">
        <f aca="false">IF(A909="","",DATE(YEAR(A909),MONTH(A909),1))</f>
        <v/>
      </c>
    </row>
    <row r="910" customFormat="false" ht="15" hidden="false" customHeight="false" outlineLevel="0" collapsed="false">
      <c r="A910" s="22"/>
      <c r="B910" s="23"/>
      <c r="C910" s="23"/>
      <c r="D910" s="24"/>
      <c r="E910" s="23"/>
      <c r="F910" s="15" t="str">
        <f aca="false">IF(B910="","",IFERROR(INDEX(Configurações!$B$7:$B$30,MATCH(B910,Configurações!$A$7:$A$30,0)),"?"))</f>
        <v/>
      </c>
      <c r="G910" s="25" t="str">
        <f aca="false">IF(A910="","",A910-WEEKDAY(A910,2)+1)</f>
        <v/>
      </c>
      <c r="H910" s="26" t="str">
        <f aca="false">IF(A910="","",DATE(YEAR(A910),MONTH(A910),1))</f>
        <v/>
      </c>
    </row>
    <row r="911" customFormat="false" ht="15" hidden="false" customHeight="false" outlineLevel="0" collapsed="false">
      <c r="A911" s="22"/>
      <c r="B911" s="23"/>
      <c r="C911" s="23"/>
      <c r="D911" s="24"/>
      <c r="E911" s="23"/>
      <c r="F911" s="15" t="str">
        <f aca="false">IF(B911="","",IFERROR(INDEX(Configurações!$B$7:$B$30,MATCH(B911,Configurações!$A$7:$A$30,0)),"?"))</f>
        <v/>
      </c>
      <c r="G911" s="25" t="str">
        <f aca="false">IF(A911="","",A911-WEEKDAY(A911,2)+1)</f>
        <v/>
      </c>
      <c r="H911" s="26" t="str">
        <f aca="false">IF(A911="","",DATE(YEAR(A911),MONTH(A911),1))</f>
        <v/>
      </c>
    </row>
    <row r="912" customFormat="false" ht="15" hidden="false" customHeight="false" outlineLevel="0" collapsed="false">
      <c r="A912" s="22"/>
      <c r="B912" s="23"/>
      <c r="C912" s="23"/>
      <c r="D912" s="24"/>
      <c r="E912" s="23"/>
      <c r="F912" s="15" t="str">
        <f aca="false">IF(B912="","",IFERROR(INDEX(Configurações!$B$7:$B$30,MATCH(B912,Configurações!$A$7:$A$30,0)),"?"))</f>
        <v/>
      </c>
      <c r="G912" s="25" t="str">
        <f aca="false">IF(A912="","",A912-WEEKDAY(A912,2)+1)</f>
        <v/>
      </c>
      <c r="H912" s="26" t="str">
        <f aca="false">IF(A912="","",DATE(YEAR(A912),MONTH(A912),1))</f>
        <v/>
      </c>
    </row>
    <row r="913" customFormat="false" ht="15" hidden="false" customHeight="false" outlineLevel="0" collapsed="false">
      <c r="A913" s="22"/>
      <c r="B913" s="23"/>
      <c r="C913" s="23"/>
      <c r="D913" s="24"/>
      <c r="E913" s="23"/>
      <c r="F913" s="15" t="str">
        <f aca="false">IF(B913="","",IFERROR(INDEX(Configurações!$B$7:$B$30,MATCH(B913,Configurações!$A$7:$A$30,0)),"?"))</f>
        <v/>
      </c>
      <c r="G913" s="25" t="str">
        <f aca="false">IF(A913="","",A913-WEEKDAY(A913,2)+1)</f>
        <v/>
      </c>
      <c r="H913" s="26" t="str">
        <f aca="false">IF(A913="","",DATE(YEAR(A913),MONTH(A913),1))</f>
        <v/>
      </c>
    </row>
    <row r="914" customFormat="false" ht="15" hidden="false" customHeight="false" outlineLevel="0" collapsed="false">
      <c r="A914" s="22"/>
      <c r="B914" s="23"/>
      <c r="C914" s="23"/>
      <c r="D914" s="24"/>
      <c r="E914" s="23"/>
      <c r="F914" s="15" t="str">
        <f aca="false">IF(B914="","",IFERROR(INDEX(Configurações!$B$7:$B$30,MATCH(B914,Configurações!$A$7:$A$30,0)),"?"))</f>
        <v/>
      </c>
      <c r="G914" s="25" t="str">
        <f aca="false">IF(A914="","",A914-WEEKDAY(A914,2)+1)</f>
        <v/>
      </c>
      <c r="H914" s="26" t="str">
        <f aca="false">IF(A914="","",DATE(YEAR(A914),MONTH(A914),1))</f>
        <v/>
      </c>
    </row>
    <row r="915" customFormat="false" ht="15" hidden="false" customHeight="false" outlineLevel="0" collapsed="false">
      <c r="A915" s="22"/>
      <c r="B915" s="23"/>
      <c r="C915" s="23"/>
      <c r="D915" s="24"/>
      <c r="E915" s="23"/>
      <c r="F915" s="15" t="str">
        <f aca="false">IF(B915="","",IFERROR(INDEX(Configurações!$B$7:$B$30,MATCH(B915,Configurações!$A$7:$A$30,0)),"?"))</f>
        <v/>
      </c>
      <c r="G915" s="25" t="str">
        <f aca="false">IF(A915="","",A915-WEEKDAY(A915,2)+1)</f>
        <v/>
      </c>
      <c r="H915" s="26" t="str">
        <f aca="false">IF(A915="","",DATE(YEAR(A915),MONTH(A915),1))</f>
        <v/>
      </c>
    </row>
    <row r="916" customFormat="false" ht="15" hidden="false" customHeight="false" outlineLevel="0" collapsed="false">
      <c r="A916" s="22"/>
      <c r="B916" s="23"/>
      <c r="C916" s="23"/>
      <c r="D916" s="24"/>
      <c r="E916" s="23"/>
      <c r="F916" s="15" t="str">
        <f aca="false">IF(B916="","",IFERROR(INDEX(Configurações!$B$7:$B$30,MATCH(B916,Configurações!$A$7:$A$30,0)),"?"))</f>
        <v/>
      </c>
      <c r="G916" s="25" t="str">
        <f aca="false">IF(A916="","",A916-WEEKDAY(A916,2)+1)</f>
        <v/>
      </c>
      <c r="H916" s="26" t="str">
        <f aca="false">IF(A916="","",DATE(YEAR(A916),MONTH(A916),1))</f>
        <v/>
      </c>
    </row>
    <row r="917" customFormat="false" ht="15" hidden="false" customHeight="false" outlineLevel="0" collapsed="false">
      <c r="A917" s="22"/>
      <c r="B917" s="23"/>
      <c r="C917" s="23"/>
      <c r="D917" s="24"/>
      <c r="E917" s="23"/>
      <c r="F917" s="15" t="str">
        <f aca="false">IF(B917="","",IFERROR(INDEX(Configurações!$B$7:$B$30,MATCH(B917,Configurações!$A$7:$A$30,0)),"?"))</f>
        <v/>
      </c>
      <c r="G917" s="25" t="str">
        <f aca="false">IF(A917="","",A917-WEEKDAY(A917,2)+1)</f>
        <v/>
      </c>
      <c r="H917" s="26" t="str">
        <f aca="false">IF(A917="","",DATE(YEAR(A917),MONTH(A917),1))</f>
        <v/>
      </c>
    </row>
    <row r="918" customFormat="false" ht="15" hidden="false" customHeight="false" outlineLevel="0" collapsed="false">
      <c r="A918" s="22"/>
      <c r="B918" s="23"/>
      <c r="C918" s="23"/>
      <c r="D918" s="24"/>
      <c r="E918" s="23"/>
      <c r="F918" s="15" t="str">
        <f aca="false">IF(B918="","",IFERROR(INDEX(Configurações!$B$7:$B$30,MATCH(B918,Configurações!$A$7:$A$30,0)),"?"))</f>
        <v/>
      </c>
      <c r="G918" s="25" t="str">
        <f aca="false">IF(A918="","",A918-WEEKDAY(A918,2)+1)</f>
        <v/>
      </c>
      <c r="H918" s="26" t="str">
        <f aca="false">IF(A918="","",DATE(YEAR(A918),MONTH(A918),1))</f>
        <v/>
      </c>
    </row>
    <row r="919" customFormat="false" ht="15" hidden="false" customHeight="false" outlineLevel="0" collapsed="false">
      <c r="A919" s="22"/>
      <c r="B919" s="23"/>
      <c r="C919" s="23"/>
      <c r="D919" s="24"/>
      <c r="E919" s="23"/>
      <c r="F919" s="15" t="str">
        <f aca="false">IF(B919="","",IFERROR(INDEX(Configurações!$B$7:$B$30,MATCH(B919,Configurações!$A$7:$A$30,0)),"?"))</f>
        <v/>
      </c>
      <c r="G919" s="25" t="str">
        <f aca="false">IF(A919="","",A919-WEEKDAY(A919,2)+1)</f>
        <v/>
      </c>
      <c r="H919" s="26" t="str">
        <f aca="false">IF(A919="","",DATE(YEAR(A919),MONTH(A919),1))</f>
        <v/>
      </c>
    </row>
    <row r="920" customFormat="false" ht="15" hidden="false" customHeight="false" outlineLevel="0" collapsed="false">
      <c r="A920" s="22"/>
      <c r="B920" s="23"/>
      <c r="C920" s="23"/>
      <c r="D920" s="24"/>
      <c r="E920" s="23"/>
      <c r="F920" s="15" t="str">
        <f aca="false">IF(B920="","",IFERROR(INDEX(Configurações!$B$7:$B$30,MATCH(B920,Configurações!$A$7:$A$30,0)),"?"))</f>
        <v/>
      </c>
      <c r="G920" s="25" t="str">
        <f aca="false">IF(A920="","",A920-WEEKDAY(A920,2)+1)</f>
        <v/>
      </c>
      <c r="H920" s="26" t="str">
        <f aca="false">IF(A920="","",DATE(YEAR(A920),MONTH(A920),1))</f>
        <v/>
      </c>
    </row>
    <row r="921" customFormat="false" ht="15" hidden="false" customHeight="false" outlineLevel="0" collapsed="false">
      <c r="A921" s="22"/>
      <c r="B921" s="23"/>
      <c r="C921" s="23"/>
      <c r="D921" s="24"/>
      <c r="E921" s="23"/>
      <c r="F921" s="15" t="str">
        <f aca="false">IF(B921="","",IFERROR(INDEX(Configurações!$B$7:$B$30,MATCH(B921,Configurações!$A$7:$A$30,0)),"?"))</f>
        <v/>
      </c>
      <c r="G921" s="25" t="str">
        <f aca="false">IF(A921="","",A921-WEEKDAY(A921,2)+1)</f>
        <v/>
      </c>
      <c r="H921" s="26" t="str">
        <f aca="false">IF(A921="","",DATE(YEAR(A921),MONTH(A921),1))</f>
        <v/>
      </c>
    </row>
    <row r="922" customFormat="false" ht="15" hidden="false" customHeight="false" outlineLevel="0" collapsed="false">
      <c r="A922" s="22"/>
      <c r="B922" s="23"/>
      <c r="C922" s="23"/>
      <c r="D922" s="24"/>
      <c r="E922" s="23"/>
      <c r="F922" s="15" t="str">
        <f aca="false">IF(B922="","",IFERROR(INDEX(Configurações!$B$7:$B$30,MATCH(B922,Configurações!$A$7:$A$30,0)),"?"))</f>
        <v/>
      </c>
      <c r="G922" s="25" t="str">
        <f aca="false">IF(A922="","",A922-WEEKDAY(A922,2)+1)</f>
        <v/>
      </c>
      <c r="H922" s="26" t="str">
        <f aca="false">IF(A922="","",DATE(YEAR(A922),MONTH(A922),1))</f>
        <v/>
      </c>
    </row>
    <row r="923" customFormat="false" ht="15" hidden="false" customHeight="false" outlineLevel="0" collapsed="false">
      <c r="A923" s="22"/>
      <c r="B923" s="23"/>
      <c r="C923" s="23"/>
      <c r="D923" s="24"/>
      <c r="E923" s="23"/>
      <c r="F923" s="15" t="str">
        <f aca="false">IF(B923="","",IFERROR(INDEX(Configurações!$B$7:$B$30,MATCH(B923,Configurações!$A$7:$A$30,0)),"?"))</f>
        <v/>
      </c>
      <c r="G923" s="25" t="str">
        <f aca="false">IF(A923="","",A923-WEEKDAY(A923,2)+1)</f>
        <v/>
      </c>
      <c r="H923" s="26" t="str">
        <f aca="false">IF(A923="","",DATE(YEAR(A923),MONTH(A923),1))</f>
        <v/>
      </c>
    </row>
    <row r="924" customFormat="false" ht="15" hidden="false" customHeight="false" outlineLevel="0" collapsed="false">
      <c r="A924" s="22"/>
      <c r="B924" s="23"/>
      <c r="C924" s="23"/>
      <c r="D924" s="24"/>
      <c r="E924" s="23"/>
      <c r="F924" s="15" t="str">
        <f aca="false">IF(B924="","",IFERROR(INDEX(Configurações!$B$7:$B$30,MATCH(B924,Configurações!$A$7:$A$30,0)),"?"))</f>
        <v/>
      </c>
      <c r="G924" s="25" t="str">
        <f aca="false">IF(A924="","",A924-WEEKDAY(A924,2)+1)</f>
        <v/>
      </c>
      <c r="H924" s="26" t="str">
        <f aca="false">IF(A924="","",DATE(YEAR(A924),MONTH(A924),1))</f>
        <v/>
      </c>
    </row>
    <row r="925" customFormat="false" ht="15" hidden="false" customHeight="false" outlineLevel="0" collapsed="false">
      <c r="A925" s="22"/>
      <c r="B925" s="23"/>
      <c r="C925" s="23"/>
      <c r="D925" s="24"/>
      <c r="E925" s="23"/>
      <c r="F925" s="15" t="str">
        <f aca="false">IF(B925="","",IFERROR(INDEX(Configurações!$B$7:$B$30,MATCH(B925,Configurações!$A$7:$A$30,0)),"?"))</f>
        <v/>
      </c>
      <c r="G925" s="25" t="str">
        <f aca="false">IF(A925="","",A925-WEEKDAY(A925,2)+1)</f>
        <v/>
      </c>
      <c r="H925" s="26" t="str">
        <f aca="false">IF(A925="","",DATE(YEAR(A925),MONTH(A925),1))</f>
        <v/>
      </c>
    </row>
    <row r="926" customFormat="false" ht="15" hidden="false" customHeight="false" outlineLevel="0" collapsed="false">
      <c r="A926" s="22"/>
      <c r="B926" s="23"/>
      <c r="C926" s="23"/>
      <c r="D926" s="24"/>
      <c r="E926" s="23"/>
      <c r="F926" s="15" t="str">
        <f aca="false">IF(B926="","",IFERROR(INDEX(Configurações!$B$7:$B$30,MATCH(B926,Configurações!$A$7:$A$30,0)),"?"))</f>
        <v/>
      </c>
      <c r="G926" s="25" t="str">
        <f aca="false">IF(A926="","",A926-WEEKDAY(A926,2)+1)</f>
        <v/>
      </c>
      <c r="H926" s="26" t="str">
        <f aca="false">IF(A926="","",DATE(YEAR(A926),MONTH(A926),1))</f>
        <v/>
      </c>
    </row>
    <row r="927" customFormat="false" ht="15" hidden="false" customHeight="false" outlineLevel="0" collapsed="false">
      <c r="A927" s="22"/>
      <c r="B927" s="23"/>
      <c r="C927" s="23"/>
      <c r="D927" s="24"/>
      <c r="E927" s="23"/>
      <c r="F927" s="15" t="str">
        <f aca="false">IF(B927="","",IFERROR(INDEX(Configurações!$B$7:$B$30,MATCH(B927,Configurações!$A$7:$A$30,0)),"?"))</f>
        <v/>
      </c>
      <c r="G927" s="25" t="str">
        <f aca="false">IF(A927="","",A927-WEEKDAY(A927,2)+1)</f>
        <v/>
      </c>
      <c r="H927" s="26" t="str">
        <f aca="false">IF(A927="","",DATE(YEAR(A927),MONTH(A927),1))</f>
        <v/>
      </c>
    </row>
    <row r="928" customFormat="false" ht="15" hidden="false" customHeight="false" outlineLevel="0" collapsed="false">
      <c r="A928" s="22"/>
      <c r="B928" s="23"/>
      <c r="C928" s="23"/>
      <c r="D928" s="24"/>
      <c r="E928" s="23"/>
      <c r="F928" s="15" t="str">
        <f aca="false">IF(B928="","",IFERROR(INDEX(Configurações!$B$7:$B$30,MATCH(B928,Configurações!$A$7:$A$30,0)),"?"))</f>
        <v/>
      </c>
      <c r="G928" s="25" t="str">
        <f aca="false">IF(A928="","",A928-WEEKDAY(A928,2)+1)</f>
        <v/>
      </c>
      <c r="H928" s="26" t="str">
        <f aca="false">IF(A928="","",DATE(YEAR(A928),MONTH(A928),1))</f>
        <v/>
      </c>
    </row>
    <row r="929" customFormat="false" ht="15" hidden="false" customHeight="false" outlineLevel="0" collapsed="false">
      <c r="A929" s="22"/>
      <c r="B929" s="23"/>
      <c r="C929" s="23"/>
      <c r="D929" s="24"/>
      <c r="E929" s="23"/>
      <c r="F929" s="15" t="str">
        <f aca="false">IF(B929="","",IFERROR(INDEX(Configurações!$B$7:$B$30,MATCH(B929,Configurações!$A$7:$A$30,0)),"?"))</f>
        <v/>
      </c>
      <c r="G929" s="25" t="str">
        <f aca="false">IF(A929="","",A929-WEEKDAY(A929,2)+1)</f>
        <v/>
      </c>
      <c r="H929" s="26" t="str">
        <f aca="false">IF(A929="","",DATE(YEAR(A929),MONTH(A929),1))</f>
        <v/>
      </c>
    </row>
    <row r="930" customFormat="false" ht="15" hidden="false" customHeight="false" outlineLevel="0" collapsed="false">
      <c r="A930" s="22"/>
      <c r="B930" s="23"/>
      <c r="C930" s="23"/>
      <c r="D930" s="24"/>
      <c r="E930" s="23"/>
      <c r="F930" s="15" t="str">
        <f aca="false">IF(B930="","",IFERROR(INDEX(Configurações!$B$7:$B$30,MATCH(B930,Configurações!$A$7:$A$30,0)),"?"))</f>
        <v/>
      </c>
      <c r="G930" s="25" t="str">
        <f aca="false">IF(A930="","",A930-WEEKDAY(A930,2)+1)</f>
        <v/>
      </c>
      <c r="H930" s="26" t="str">
        <f aca="false">IF(A930="","",DATE(YEAR(A930),MONTH(A930),1))</f>
        <v/>
      </c>
    </row>
    <row r="931" customFormat="false" ht="15" hidden="false" customHeight="false" outlineLevel="0" collapsed="false">
      <c r="A931" s="22"/>
      <c r="B931" s="23"/>
      <c r="C931" s="23"/>
      <c r="D931" s="24"/>
      <c r="E931" s="23"/>
      <c r="F931" s="15" t="str">
        <f aca="false">IF(B931="","",IFERROR(INDEX(Configurações!$B$7:$B$30,MATCH(B931,Configurações!$A$7:$A$30,0)),"?"))</f>
        <v/>
      </c>
      <c r="G931" s="25" t="str">
        <f aca="false">IF(A931="","",A931-WEEKDAY(A931,2)+1)</f>
        <v/>
      </c>
      <c r="H931" s="26" t="str">
        <f aca="false">IF(A931="","",DATE(YEAR(A931),MONTH(A931),1))</f>
        <v/>
      </c>
    </row>
    <row r="932" customFormat="false" ht="15" hidden="false" customHeight="false" outlineLevel="0" collapsed="false">
      <c r="A932" s="22"/>
      <c r="B932" s="23"/>
      <c r="C932" s="23"/>
      <c r="D932" s="24"/>
      <c r="E932" s="23"/>
      <c r="F932" s="15" t="str">
        <f aca="false">IF(B932="","",IFERROR(INDEX(Configurações!$B$7:$B$30,MATCH(B932,Configurações!$A$7:$A$30,0)),"?"))</f>
        <v/>
      </c>
      <c r="G932" s="25" t="str">
        <f aca="false">IF(A932="","",A932-WEEKDAY(A932,2)+1)</f>
        <v/>
      </c>
      <c r="H932" s="26" t="str">
        <f aca="false">IF(A932="","",DATE(YEAR(A932),MONTH(A932),1))</f>
        <v/>
      </c>
    </row>
    <row r="933" customFormat="false" ht="15" hidden="false" customHeight="false" outlineLevel="0" collapsed="false">
      <c r="A933" s="22"/>
      <c r="B933" s="23"/>
      <c r="C933" s="23"/>
      <c r="D933" s="24"/>
      <c r="E933" s="23"/>
      <c r="F933" s="15" t="str">
        <f aca="false">IF(B933="","",IFERROR(INDEX(Configurações!$B$7:$B$30,MATCH(B933,Configurações!$A$7:$A$30,0)),"?"))</f>
        <v/>
      </c>
      <c r="G933" s="25" t="str">
        <f aca="false">IF(A933="","",A933-WEEKDAY(A933,2)+1)</f>
        <v/>
      </c>
      <c r="H933" s="26" t="str">
        <f aca="false">IF(A933="","",DATE(YEAR(A933),MONTH(A933),1))</f>
        <v/>
      </c>
    </row>
    <row r="934" customFormat="false" ht="15" hidden="false" customHeight="false" outlineLevel="0" collapsed="false">
      <c r="A934" s="22"/>
      <c r="B934" s="23"/>
      <c r="C934" s="23"/>
      <c r="D934" s="24"/>
      <c r="E934" s="23"/>
      <c r="F934" s="15" t="str">
        <f aca="false">IF(B934="","",IFERROR(INDEX(Configurações!$B$7:$B$30,MATCH(B934,Configurações!$A$7:$A$30,0)),"?"))</f>
        <v/>
      </c>
      <c r="G934" s="25" t="str">
        <f aca="false">IF(A934="","",A934-WEEKDAY(A934,2)+1)</f>
        <v/>
      </c>
      <c r="H934" s="26" t="str">
        <f aca="false">IF(A934="","",DATE(YEAR(A934),MONTH(A934),1))</f>
        <v/>
      </c>
    </row>
    <row r="935" customFormat="false" ht="15" hidden="false" customHeight="false" outlineLevel="0" collapsed="false">
      <c r="A935" s="22"/>
      <c r="B935" s="23"/>
      <c r="C935" s="23"/>
      <c r="D935" s="24"/>
      <c r="E935" s="23"/>
      <c r="F935" s="15" t="str">
        <f aca="false">IF(B935="","",IFERROR(INDEX(Configurações!$B$7:$B$30,MATCH(B935,Configurações!$A$7:$A$30,0)),"?"))</f>
        <v/>
      </c>
      <c r="G935" s="25" t="str">
        <f aca="false">IF(A935="","",A935-WEEKDAY(A935,2)+1)</f>
        <v/>
      </c>
      <c r="H935" s="26" t="str">
        <f aca="false">IF(A935="","",DATE(YEAR(A935),MONTH(A935),1))</f>
        <v/>
      </c>
    </row>
    <row r="936" customFormat="false" ht="15" hidden="false" customHeight="false" outlineLevel="0" collapsed="false">
      <c r="A936" s="22"/>
      <c r="B936" s="23"/>
      <c r="C936" s="23"/>
      <c r="D936" s="24"/>
      <c r="E936" s="23"/>
      <c r="F936" s="15" t="str">
        <f aca="false">IF(B936="","",IFERROR(INDEX(Configurações!$B$7:$B$30,MATCH(B936,Configurações!$A$7:$A$30,0)),"?"))</f>
        <v/>
      </c>
      <c r="G936" s="25" t="str">
        <f aca="false">IF(A936="","",A936-WEEKDAY(A936,2)+1)</f>
        <v/>
      </c>
      <c r="H936" s="26" t="str">
        <f aca="false">IF(A936="","",DATE(YEAR(A936),MONTH(A936),1))</f>
        <v/>
      </c>
    </row>
    <row r="937" customFormat="false" ht="15" hidden="false" customHeight="false" outlineLevel="0" collapsed="false">
      <c r="A937" s="22"/>
      <c r="B937" s="23"/>
      <c r="C937" s="23"/>
      <c r="D937" s="24"/>
      <c r="E937" s="23"/>
      <c r="F937" s="15" t="str">
        <f aca="false">IF(B937="","",IFERROR(INDEX(Configurações!$B$7:$B$30,MATCH(B937,Configurações!$A$7:$A$30,0)),"?"))</f>
        <v/>
      </c>
      <c r="G937" s="25" t="str">
        <f aca="false">IF(A937="","",A937-WEEKDAY(A937,2)+1)</f>
        <v/>
      </c>
      <c r="H937" s="26" t="str">
        <f aca="false">IF(A937="","",DATE(YEAR(A937),MONTH(A937),1))</f>
        <v/>
      </c>
    </row>
    <row r="938" customFormat="false" ht="15" hidden="false" customHeight="false" outlineLevel="0" collapsed="false">
      <c r="A938" s="22"/>
      <c r="B938" s="23"/>
      <c r="C938" s="23"/>
      <c r="D938" s="24"/>
      <c r="E938" s="23"/>
      <c r="F938" s="15" t="str">
        <f aca="false">IF(B938="","",IFERROR(INDEX(Configurações!$B$7:$B$30,MATCH(B938,Configurações!$A$7:$A$30,0)),"?"))</f>
        <v/>
      </c>
      <c r="G938" s="25" t="str">
        <f aca="false">IF(A938="","",A938-WEEKDAY(A938,2)+1)</f>
        <v/>
      </c>
      <c r="H938" s="26" t="str">
        <f aca="false">IF(A938="","",DATE(YEAR(A938),MONTH(A938),1))</f>
        <v/>
      </c>
    </row>
    <row r="939" customFormat="false" ht="15" hidden="false" customHeight="false" outlineLevel="0" collapsed="false">
      <c r="A939" s="22"/>
      <c r="B939" s="23"/>
      <c r="C939" s="23"/>
      <c r="D939" s="24"/>
      <c r="E939" s="23"/>
      <c r="F939" s="15" t="str">
        <f aca="false">IF(B939="","",IFERROR(INDEX(Configurações!$B$7:$B$30,MATCH(B939,Configurações!$A$7:$A$30,0)),"?"))</f>
        <v/>
      </c>
      <c r="G939" s="25" t="str">
        <f aca="false">IF(A939="","",A939-WEEKDAY(A939,2)+1)</f>
        <v/>
      </c>
      <c r="H939" s="26" t="str">
        <f aca="false">IF(A939="","",DATE(YEAR(A939),MONTH(A939),1))</f>
        <v/>
      </c>
    </row>
    <row r="940" customFormat="false" ht="15" hidden="false" customHeight="false" outlineLevel="0" collapsed="false">
      <c r="A940" s="22"/>
      <c r="B940" s="23"/>
      <c r="C940" s="23"/>
      <c r="D940" s="24"/>
      <c r="E940" s="23"/>
      <c r="F940" s="15" t="str">
        <f aca="false">IF(B940="","",IFERROR(INDEX(Configurações!$B$7:$B$30,MATCH(B940,Configurações!$A$7:$A$30,0)),"?"))</f>
        <v/>
      </c>
      <c r="G940" s="25" t="str">
        <f aca="false">IF(A940="","",A940-WEEKDAY(A940,2)+1)</f>
        <v/>
      </c>
      <c r="H940" s="26" t="str">
        <f aca="false">IF(A940="","",DATE(YEAR(A940),MONTH(A940),1))</f>
        <v/>
      </c>
    </row>
    <row r="941" customFormat="false" ht="15" hidden="false" customHeight="false" outlineLevel="0" collapsed="false">
      <c r="A941" s="22"/>
      <c r="B941" s="23"/>
      <c r="C941" s="23"/>
      <c r="D941" s="24"/>
      <c r="E941" s="23"/>
      <c r="F941" s="15" t="str">
        <f aca="false">IF(B941="","",IFERROR(INDEX(Configurações!$B$7:$B$30,MATCH(B941,Configurações!$A$7:$A$30,0)),"?"))</f>
        <v/>
      </c>
      <c r="G941" s="25" t="str">
        <f aca="false">IF(A941="","",A941-WEEKDAY(A941,2)+1)</f>
        <v/>
      </c>
      <c r="H941" s="26" t="str">
        <f aca="false">IF(A941="","",DATE(YEAR(A941),MONTH(A941),1))</f>
        <v/>
      </c>
    </row>
    <row r="942" customFormat="false" ht="15" hidden="false" customHeight="false" outlineLevel="0" collapsed="false">
      <c r="A942" s="22"/>
      <c r="B942" s="23"/>
      <c r="C942" s="23"/>
      <c r="D942" s="24"/>
      <c r="E942" s="23"/>
      <c r="F942" s="15" t="str">
        <f aca="false">IF(B942="","",IFERROR(INDEX(Configurações!$B$7:$B$30,MATCH(B942,Configurações!$A$7:$A$30,0)),"?"))</f>
        <v/>
      </c>
      <c r="G942" s="25" t="str">
        <f aca="false">IF(A942="","",A942-WEEKDAY(A942,2)+1)</f>
        <v/>
      </c>
      <c r="H942" s="26" t="str">
        <f aca="false">IF(A942="","",DATE(YEAR(A942),MONTH(A942),1))</f>
        <v/>
      </c>
    </row>
    <row r="943" customFormat="false" ht="15" hidden="false" customHeight="false" outlineLevel="0" collapsed="false">
      <c r="A943" s="22"/>
      <c r="B943" s="23"/>
      <c r="C943" s="23"/>
      <c r="D943" s="24"/>
      <c r="E943" s="23"/>
      <c r="F943" s="15" t="str">
        <f aca="false">IF(B943="","",IFERROR(INDEX(Configurações!$B$7:$B$30,MATCH(B943,Configurações!$A$7:$A$30,0)),"?"))</f>
        <v/>
      </c>
      <c r="G943" s="25" t="str">
        <f aca="false">IF(A943="","",A943-WEEKDAY(A943,2)+1)</f>
        <v/>
      </c>
      <c r="H943" s="26" t="str">
        <f aca="false">IF(A943="","",DATE(YEAR(A943),MONTH(A943),1))</f>
        <v/>
      </c>
    </row>
    <row r="944" customFormat="false" ht="15" hidden="false" customHeight="false" outlineLevel="0" collapsed="false">
      <c r="A944" s="22"/>
      <c r="B944" s="23"/>
      <c r="C944" s="23"/>
      <c r="D944" s="24"/>
      <c r="E944" s="23"/>
      <c r="F944" s="15" t="str">
        <f aca="false">IF(B944="","",IFERROR(INDEX(Configurações!$B$7:$B$30,MATCH(B944,Configurações!$A$7:$A$30,0)),"?"))</f>
        <v/>
      </c>
      <c r="G944" s="25" t="str">
        <f aca="false">IF(A944="","",A944-WEEKDAY(A944,2)+1)</f>
        <v/>
      </c>
      <c r="H944" s="26" t="str">
        <f aca="false">IF(A944="","",DATE(YEAR(A944),MONTH(A944),1))</f>
        <v/>
      </c>
    </row>
    <row r="945" customFormat="false" ht="15" hidden="false" customHeight="false" outlineLevel="0" collapsed="false">
      <c r="A945" s="22"/>
      <c r="B945" s="23"/>
      <c r="C945" s="23"/>
      <c r="D945" s="24"/>
      <c r="E945" s="23"/>
      <c r="F945" s="15" t="str">
        <f aca="false">IF(B945="","",IFERROR(INDEX(Configurações!$B$7:$B$30,MATCH(B945,Configurações!$A$7:$A$30,0)),"?"))</f>
        <v/>
      </c>
      <c r="G945" s="25" t="str">
        <f aca="false">IF(A945="","",A945-WEEKDAY(A945,2)+1)</f>
        <v/>
      </c>
      <c r="H945" s="26" t="str">
        <f aca="false">IF(A945="","",DATE(YEAR(A945),MONTH(A945),1))</f>
        <v/>
      </c>
    </row>
    <row r="946" customFormat="false" ht="15" hidden="false" customHeight="false" outlineLevel="0" collapsed="false">
      <c r="A946" s="22"/>
      <c r="B946" s="23"/>
      <c r="C946" s="23"/>
      <c r="D946" s="24"/>
      <c r="E946" s="23"/>
      <c r="F946" s="15" t="str">
        <f aca="false">IF(B946="","",IFERROR(INDEX(Configurações!$B$7:$B$30,MATCH(B946,Configurações!$A$7:$A$30,0)),"?"))</f>
        <v/>
      </c>
      <c r="G946" s="25" t="str">
        <f aca="false">IF(A946="","",A946-WEEKDAY(A946,2)+1)</f>
        <v/>
      </c>
      <c r="H946" s="26" t="str">
        <f aca="false">IF(A946="","",DATE(YEAR(A946),MONTH(A946),1))</f>
        <v/>
      </c>
    </row>
    <row r="947" customFormat="false" ht="15" hidden="false" customHeight="false" outlineLevel="0" collapsed="false">
      <c r="A947" s="22"/>
      <c r="B947" s="23"/>
      <c r="C947" s="23"/>
      <c r="D947" s="24"/>
      <c r="E947" s="23"/>
      <c r="F947" s="15" t="str">
        <f aca="false">IF(B947="","",IFERROR(INDEX(Configurações!$B$7:$B$30,MATCH(B947,Configurações!$A$7:$A$30,0)),"?"))</f>
        <v/>
      </c>
      <c r="G947" s="25" t="str">
        <f aca="false">IF(A947="","",A947-WEEKDAY(A947,2)+1)</f>
        <v/>
      </c>
      <c r="H947" s="26" t="str">
        <f aca="false">IF(A947="","",DATE(YEAR(A947),MONTH(A947),1))</f>
        <v/>
      </c>
    </row>
    <row r="948" customFormat="false" ht="15" hidden="false" customHeight="false" outlineLevel="0" collapsed="false">
      <c r="A948" s="22"/>
      <c r="B948" s="23"/>
      <c r="C948" s="23"/>
      <c r="D948" s="24"/>
      <c r="E948" s="23"/>
      <c r="F948" s="15" t="str">
        <f aca="false">IF(B948="","",IFERROR(INDEX(Configurações!$B$7:$B$30,MATCH(B948,Configurações!$A$7:$A$30,0)),"?"))</f>
        <v/>
      </c>
      <c r="G948" s="25" t="str">
        <f aca="false">IF(A948="","",A948-WEEKDAY(A948,2)+1)</f>
        <v/>
      </c>
      <c r="H948" s="26" t="str">
        <f aca="false">IF(A948="","",DATE(YEAR(A948),MONTH(A948),1))</f>
        <v/>
      </c>
    </row>
    <row r="949" customFormat="false" ht="15" hidden="false" customHeight="false" outlineLevel="0" collapsed="false">
      <c r="A949" s="22"/>
      <c r="B949" s="23"/>
      <c r="C949" s="23"/>
      <c r="D949" s="24"/>
      <c r="E949" s="23"/>
      <c r="F949" s="15" t="str">
        <f aca="false">IF(B949="","",IFERROR(INDEX(Configurações!$B$7:$B$30,MATCH(B949,Configurações!$A$7:$A$30,0)),"?"))</f>
        <v/>
      </c>
      <c r="G949" s="25" t="str">
        <f aca="false">IF(A949="","",A949-WEEKDAY(A949,2)+1)</f>
        <v/>
      </c>
      <c r="H949" s="26" t="str">
        <f aca="false">IF(A949="","",DATE(YEAR(A949),MONTH(A949),1))</f>
        <v/>
      </c>
    </row>
    <row r="950" customFormat="false" ht="15" hidden="false" customHeight="false" outlineLevel="0" collapsed="false">
      <c r="A950" s="22"/>
      <c r="B950" s="23"/>
      <c r="C950" s="23"/>
      <c r="D950" s="24"/>
      <c r="E950" s="23"/>
      <c r="F950" s="15" t="str">
        <f aca="false">IF(B950="","",IFERROR(INDEX(Configurações!$B$7:$B$30,MATCH(B950,Configurações!$A$7:$A$30,0)),"?"))</f>
        <v/>
      </c>
      <c r="G950" s="25" t="str">
        <f aca="false">IF(A950="","",A950-WEEKDAY(A950,2)+1)</f>
        <v/>
      </c>
      <c r="H950" s="26" t="str">
        <f aca="false">IF(A950="","",DATE(YEAR(A950),MONTH(A950),1))</f>
        <v/>
      </c>
    </row>
    <row r="951" customFormat="false" ht="15" hidden="false" customHeight="false" outlineLevel="0" collapsed="false">
      <c r="A951" s="22"/>
      <c r="B951" s="23"/>
      <c r="C951" s="23"/>
      <c r="D951" s="24"/>
      <c r="E951" s="23"/>
      <c r="F951" s="15" t="str">
        <f aca="false">IF(B951="","",IFERROR(INDEX(Configurações!$B$7:$B$30,MATCH(B951,Configurações!$A$7:$A$30,0)),"?"))</f>
        <v/>
      </c>
      <c r="G951" s="25" t="str">
        <f aca="false">IF(A951="","",A951-WEEKDAY(A951,2)+1)</f>
        <v/>
      </c>
      <c r="H951" s="26" t="str">
        <f aca="false">IF(A951="","",DATE(YEAR(A951),MONTH(A951),1))</f>
        <v/>
      </c>
    </row>
    <row r="952" customFormat="false" ht="15" hidden="false" customHeight="false" outlineLevel="0" collapsed="false">
      <c r="A952" s="22"/>
      <c r="B952" s="23"/>
      <c r="C952" s="23"/>
      <c r="D952" s="24"/>
      <c r="E952" s="23"/>
      <c r="F952" s="15" t="str">
        <f aca="false">IF(B952="","",IFERROR(INDEX(Configurações!$B$7:$B$30,MATCH(B952,Configurações!$A$7:$A$30,0)),"?"))</f>
        <v/>
      </c>
      <c r="G952" s="25" t="str">
        <f aca="false">IF(A952="","",A952-WEEKDAY(A952,2)+1)</f>
        <v/>
      </c>
      <c r="H952" s="26" t="str">
        <f aca="false">IF(A952="","",DATE(YEAR(A952),MONTH(A952),1))</f>
        <v/>
      </c>
    </row>
    <row r="953" customFormat="false" ht="15" hidden="false" customHeight="false" outlineLevel="0" collapsed="false">
      <c r="A953" s="22"/>
      <c r="B953" s="23"/>
      <c r="C953" s="23"/>
      <c r="D953" s="24"/>
      <c r="E953" s="23"/>
      <c r="F953" s="15" t="str">
        <f aca="false">IF(B953="","",IFERROR(INDEX(Configurações!$B$7:$B$30,MATCH(B953,Configurações!$A$7:$A$30,0)),"?"))</f>
        <v/>
      </c>
      <c r="G953" s="25" t="str">
        <f aca="false">IF(A953="","",A953-WEEKDAY(A953,2)+1)</f>
        <v/>
      </c>
      <c r="H953" s="26" t="str">
        <f aca="false">IF(A953="","",DATE(YEAR(A953),MONTH(A953),1))</f>
        <v/>
      </c>
    </row>
    <row r="954" customFormat="false" ht="15" hidden="false" customHeight="false" outlineLevel="0" collapsed="false">
      <c r="A954" s="22"/>
      <c r="B954" s="23"/>
      <c r="C954" s="23"/>
      <c r="D954" s="24"/>
      <c r="E954" s="23"/>
      <c r="F954" s="15" t="str">
        <f aca="false">IF(B954="","",IFERROR(INDEX(Configurações!$B$7:$B$30,MATCH(B954,Configurações!$A$7:$A$30,0)),"?"))</f>
        <v/>
      </c>
      <c r="G954" s="25" t="str">
        <f aca="false">IF(A954="","",A954-WEEKDAY(A954,2)+1)</f>
        <v/>
      </c>
      <c r="H954" s="26" t="str">
        <f aca="false">IF(A954="","",DATE(YEAR(A954),MONTH(A954),1))</f>
        <v/>
      </c>
    </row>
    <row r="955" customFormat="false" ht="15" hidden="false" customHeight="false" outlineLevel="0" collapsed="false">
      <c r="A955" s="22"/>
      <c r="B955" s="23"/>
      <c r="C955" s="23"/>
      <c r="D955" s="24"/>
      <c r="E955" s="23"/>
      <c r="F955" s="15" t="str">
        <f aca="false">IF(B955="","",IFERROR(INDEX(Configurações!$B$7:$B$30,MATCH(B955,Configurações!$A$7:$A$30,0)),"?"))</f>
        <v/>
      </c>
      <c r="G955" s="25" t="str">
        <f aca="false">IF(A955="","",A955-WEEKDAY(A955,2)+1)</f>
        <v/>
      </c>
      <c r="H955" s="26" t="str">
        <f aca="false">IF(A955="","",DATE(YEAR(A955),MONTH(A955),1))</f>
        <v/>
      </c>
    </row>
    <row r="956" customFormat="false" ht="15" hidden="false" customHeight="false" outlineLevel="0" collapsed="false">
      <c r="A956" s="22"/>
      <c r="B956" s="23"/>
      <c r="C956" s="23"/>
      <c r="D956" s="24"/>
      <c r="E956" s="23"/>
      <c r="F956" s="15" t="str">
        <f aca="false">IF(B956="","",IFERROR(INDEX(Configurações!$B$7:$B$30,MATCH(B956,Configurações!$A$7:$A$30,0)),"?"))</f>
        <v/>
      </c>
      <c r="G956" s="25" t="str">
        <f aca="false">IF(A956="","",A956-WEEKDAY(A956,2)+1)</f>
        <v/>
      </c>
      <c r="H956" s="26" t="str">
        <f aca="false">IF(A956="","",DATE(YEAR(A956),MONTH(A956),1))</f>
        <v/>
      </c>
    </row>
    <row r="957" customFormat="false" ht="15" hidden="false" customHeight="false" outlineLevel="0" collapsed="false">
      <c r="A957" s="22"/>
      <c r="B957" s="23"/>
      <c r="C957" s="23"/>
      <c r="D957" s="24"/>
      <c r="E957" s="23"/>
      <c r="F957" s="15" t="str">
        <f aca="false">IF(B957="","",IFERROR(INDEX(Configurações!$B$7:$B$30,MATCH(B957,Configurações!$A$7:$A$30,0)),"?"))</f>
        <v/>
      </c>
      <c r="G957" s="25" t="str">
        <f aca="false">IF(A957="","",A957-WEEKDAY(A957,2)+1)</f>
        <v/>
      </c>
      <c r="H957" s="26" t="str">
        <f aca="false">IF(A957="","",DATE(YEAR(A957),MONTH(A957),1))</f>
        <v/>
      </c>
    </row>
    <row r="958" customFormat="false" ht="15" hidden="false" customHeight="false" outlineLevel="0" collapsed="false">
      <c r="A958" s="22"/>
      <c r="B958" s="23"/>
      <c r="C958" s="23"/>
      <c r="D958" s="24"/>
      <c r="E958" s="23"/>
      <c r="F958" s="15" t="str">
        <f aca="false">IF(B958="","",IFERROR(INDEX(Configurações!$B$7:$B$30,MATCH(B958,Configurações!$A$7:$A$30,0)),"?"))</f>
        <v/>
      </c>
      <c r="G958" s="25" t="str">
        <f aca="false">IF(A958="","",A958-WEEKDAY(A958,2)+1)</f>
        <v/>
      </c>
      <c r="H958" s="26" t="str">
        <f aca="false">IF(A958="","",DATE(YEAR(A958),MONTH(A958),1))</f>
        <v/>
      </c>
    </row>
    <row r="959" customFormat="false" ht="15" hidden="false" customHeight="false" outlineLevel="0" collapsed="false">
      <c r="A959" s="22"/>
      <c r="B959" s="23"/>
      <c r="C959" s="23"/>
      <c r="D959" s="24"/>
      <c r="E959" s="23"/>
      <c r="F959" s="15" t="str">
        <f aca="false">IF(B959="","",IFERROR(INDEX(Configurações!$B$7:$B$30,MATCH(B959,Configurações!$A$7:$A$30,0)),"?"))</f>
        <v/>
      </c>
      <c r="G959" s="25" t="str">
        <f aca="false">IF(A959="","",A959-WEEKDAY(A959,2)+1)</f>
        <v/>
      </c>
      <c r="H959" s="26" t="str">
        <f aca="false">IF(A959="","",DATE(YEAR(A959),MONTH(A959),1))</f>
        <v/>
      </c>
    </row>
    <row r="960" customFormat="false" ht="15" hidden="false" customHeight="false" outlineLevel="0" collapsed="false">
      <c r="A960" s="22"/>
      <c r="B960" s="23"/>
      <c r="C960" s="23"/>
      <c r="D960" s="24"/>
      <c r="E960" s="23"/>
      <c r="F960" s="15" t="str">
        <f aca="false">IF(B960="","",IFERROR(INDEX(Configurações!$B$7:$B$30,MATCH(B960,Configurações!$A$7:$A$30,0)),"?"))</f>
        <v/>
      </c>
      <c r="G960" s="25" t="str">
        <f aca="false">IF(A960="","",A960-WEEKDAY(A960,2)+1)</f>
        <v/>
      </c>
      <c r="H960" s="26" t="str">
        <f aca="false">IF(A960="","",DATE(YEAR(A960),MONTH(A960),1))</f>
        <v/>
      </c>
    </row>
    <row r="961" customFormat="false" ht="15" hidden="false" customHeight="false" outlineLevel="0" collapsed="false">
      <c r="A961" s="22"/>
      <c r="B961" s="23"/>
      <c r="C961" s="23"/>
      <c r="D961" s="24"/>
      <c r="E961" s="23"/>
      <c r="F961" s="15" t="str">
        <f aca="false">IF(B961="","",IFERROR(INDEX(Configurações!$B$7:$B$30,MATCH(B961,Configurações!$A$7:$A$30,0)),"?"))</f>
        <v/>
      </c>
      <c r="G961" s="25" t="str">
        <f aca="false">IF(A961="","",A961-WEEKDAY(A961,2)+1)</f>
        <v/>
      </c>
      <c r="H961" s="26" t="str">
        <f aca="false">IF(A961="","",DATE(YEAR(A961),MONTH(A961),1))</f>
        <v/>
      </c>
    </row>
    <row r="962" customFormat="false" ht="15" hidden="false" customHeight="false" outlineLevel="0" collapsed="false">
      <c r="A962" s="22"/>
      <c r="B962" s="23"/>
      <c r="C962" s="23"/>
      <c r="D962" s="24"/>
      <c r="E962" s="23"/>
      <c r="F962" s="15" t="str">
        <f aca="false">IF(B962="","",IFERROR(INDEX(Configurações!$B$7:$B$30,MATCH(B962,Configurações!$A$7:$A$30,0)),"?"))</f>
        <v/>
      </c>
      <c r="G962" s="25" t="str">
        <f aca="false">IF(A962="","",A962-WEEKDAY(A962,2)+1)</f>
        <v/>
      </c>
      <c r="H962" s="26" t="str">
        <f aca="false">IF(A962="","",DATE(YEAR(A962),MONTH(A962),1))</f>
        <v/>
      </c>
    </row>
    <row r="963" customFormat="false" ht="15" hidden="false" customHeight="false" outlineLevel="0" collapsed="false">
      <c r="A963" s="22"/>
      <c r="B963" s="23"/>
      <c r="C963" s="23"/>
      <c r="D963" s="24"/>
      <c r="E963" s="23"/>
      <c r="F963" s="15" t="str">
        <f aca="false">IF(B963="","",IFERROR(INDEX(Configurações!$B$7:$B$30,MATCH(B963,Configurações!$A$7:$A$30,0)),"?"))</f>
        <v/>
      </c>
      <c r="G963" s="25" t="str">
        <f aca="false">IF(A963="","",A963-WEEKDAY(A963,2)+1)</f>
        <v/>
      </c>
      <c r="H963" s="26" t="str">
        <f aca="false">IF(A963="","",DATE(YEAR(A963),MONTH(A963),1))</f>
        <v/>
      </c>
    </row>
    <row r="964" customFormat="false" ht="15" hidden="false" customHeight="false" outlineLevel="0" collapsed="false">
      <c r="A964" s="22"/>
      <c r="B964" s="23"/>
      <c r="C964" s="23"/>
      <c r="D964" s="24"/>
      <c r="E964" s="23"/>
      <c r="F964" s="15" t="str">
        <f aca="false">IF(B964="","",IFERROR(INDEX(Configurações!$B$7:$B$30,MATCH(B964,Configurações!$A$7:$A$30,0)),"?"))</f>
        <v/>
      </c>
      <c r="G964" s="25" t="str">
        <f aca="false">IF(A964="","",A964-WEEKDAY(A964,2)+1)</f>
        <v/>
      </c>
      <c r="H964" s="26" t="str">
        <f aca="false">IF(A964="","",DATE(YEAR(A964),MONTH(A964),1))</f>
        <v/>
      </c>
    </row>
    <row r="965" customFormat="false" ht="15" hidden="false" customHeight="false" outlineLevel="0" collapsed="false">
      <c r="A965" s="22"/>
      <c r="B965" s="23"/>
      <c r="C965" s="23"/>
      <c r="D965" s="24"/>
      <c r="E965" s="23"/>
      <c r="F965" s="15" t="str">
        <f aca="false">IF(B965="","",IFERROR(INDEX(Configurações!$B$7:$B$30,MATCH(B965,Configurações!$A$7:$A$30,0)),"?"))</f>
        <v/>
      </c>
      <c r="G965" s="25" t="str">
        <f aca="false">IF(A965="","",A965-WEEKDAY(A965,2)+1)</f>
        <v/>
      </c>
      <c r="H965" s="26" t="str">
        <f aca="false">IF(A965="","",DATE(YEAR(A965),MONTH(A965),1))</f>
        <v/>
      </c>
    </row>
    <row r="966" customFormat="false" ht="15" hidden="false" customHeight="false" outlineLevel="0" collapsed="false">
      <c r="A966" s="22"/>
      <c r="B966" s="23"/>
      <c r="C966" s="23"/>
      <c r="D966" s="24"/>
      <c r="E966" s="23"/>
      <c r="F966" s="15" t="str">
        <f aca="false">IF(B966="","",IFERROR(INDEX(Configurações!$B$7:$B$30,MATCH(B966,Configurações!$A$7:$A$30,0)),"?"))</f>
        <v/>
      </c>
      <c r="G966" s="25" t="str">
        <f aca="false">IF(A966="","",A966-WEEKDAY(A966,2)+1)</f>
        <v/>
      </c>
      <c r="H966" s="26" t="str">
        <f aca="false">IF(A966="","",DATE(YEAR(A966),MONTH(A966),1))</f>
        <v/>
      </c>
    </row>
    <row r="967" customFormat="false" ht="15" hidden="false" customHeight="false" outlineLevel="0" collapsed="false">
      <c r="A967" s="22"/>
      <c r="B967" s="23"/>
      <c r="C967" s="23"/>
      <c r="D967" s="24"/>
      <c r="E967" s="23"/>
      <c r="F967" s="15" t="str">
        <f aca="false">IF(B967="","",IFERROR(INDEX(Configurações!$B$7:$B$30,MATCH(B967,Configurações!$A$7:$A$30,0)),"?"))</f>
        <v/>
      </c>
      <c r="G967" s="25" t="str">
        <f aca="false">IF(A967="","",A967-WEEKDAY(A967,2)+1)</f>
        <v/>
      </c>
      <c r="H967" s="26" t="str">
        <f aca="false">IF(A967="","",DATE(YEAR(A967),MONTH(A967),1))</f>
        <v/>
      </c>
    </row>
    <row r="968" customFormat="false" ht="15" hidden="false" customHeight="false" outlineLevel="0" collapsed="false">
      <c r="A968" s="22"/>
      <c r="B968" s="23"/>
      <c r="C968" s="23"/>
      <c r="D968" s="24"/>
      <c r="E968" s="23"/>
      <c r="F968" s="15" t="str">
        <f aca="false">IF(B968="","",IFERROR(INDEX(Configurações!$B$7:$B$30,MATCH(B968,Configurações!$A$7:$A$30,0)),"?"))</f>
        <v/>
      </c>
      <c r="G968" s="25" t="str">
        <f aca="false">IF(A968="","",A968-WEEKDAY(A968,2)+1)</f>
        <v/>
      </c>
      <c r="H968" s="26" t="str">
        <f aca="false">IF(A968="","",DATE(YEAR(A968),MONTH(A968),1))</f>
        <v/>
      </c>
    </row>
    <row r="969" customFormat="false" ht="15" hidden="false" customHeight="false" outlineLevel="0" collapsed="false">
      <c r="A969" s="22"/>
      <c r="B969" s="23"/>
      <c r="C969" s="23"/>
      <c r="D969" s="24"/>
      <c r="E969" s="23"/>
      <c r="F969" s="15" t="str">
        <f aca="false">IF(B969="","",IFERROR(INDEX(Configurações!$B$7:$B$30,MATCH(B969,Configurações!$A$7:$A$30,0)),"?"))</f>
        <v/>
      </c>
      <c r="G969" s="25" t="str">
        <f aca="false">IF(A969="","",A969-WEEKDAY(A969,2)+1)</f>
        <v/>
      </c>
      <c r="H969" s="26" t="str">
        <f aca="false">IF(A969="","",DATE(YEAR(A969),MONTH(A969),1))</f>
        <v/>
      </c>
    </row>
    <row r="970" customFormat="false" ht="15" hidden="false" customHeight="false" outlineLevel="0" collapsed="false">
      <c r="A970" s="22"/>
      <c r="B970" s="23"/>
      <c r="C970" s="23"/>
      <c r="D970" s="24"/>
      <c r="E970" s="23"/>
      <c r="F970" s="15" t="str">
        <f aca="false">IF(B970="","",IFERROR(INDEX(Configurações!$B$7:$B$30,MATCH(B970,Configurações!$A$7:$A$30,0)),"?"))</f>
        <v/>
      </c>
      <c r="G970" s="25" t="str">
        <f aca="false">IF(A970="","",A970-WEEKDAY(A970,2)+1)</f>
        <v/>
      </c>
      <c r="H970" s="26" t="str">
        <f aca="false">IF(A970="","",DATE(YEAR(A970),MONTH(A970),1))</f>
        <v/>
      </c>
    </row>
    <row r="971" customFormat="false" ht="15" hidden="false" customHeight="false" outlineLevel="0" collapsed="false">
      <c r="A971" s="22"/>
      <c r="B971" s="23"/>
      <c r="C971" s="23"/>
      <c r="D971" s="24"/>
      <c r="E971" s="23"/>
      <c r="F971" s="15" t="str">
        <f aca="false">IF(B971="","",IFERROR(INDEX(Configurações!$B$7:$B$30,MATCH(B971,Configurações!$A$7:$A$30,0)),"?"))</f>
        <v/>
      </c>
      <c r="G971" s="25" t="str">
        <f aca="false">IF(A971="","",A971-WEEKDAY(A971,2)+1)</f>
        <v/>
      </c>
      <c r="H971" s="26" t="str">
        <f aca="false">IF(A971="","",DATE(YEAR(A971),MONTH(A971),1))</f>
        <v/>
      </c>
    </row>
    <row r="972" customFormat="false" ht="15" hidden="false" customHeight="false" outlineLevel="0" collapsed="false">
      <c r="A972" s="22"/>
      <c r="B972" s="23"/>
      <c r="C972" s="23"/>
      <c r="D972" s="24"/>
      <c r="E972" s="23"/>
      <c r="F972" s="15" t="str">
        <f aca="false">IF(B972="","",IFERROR(INDEX(Configurações!$B$7:$B$30,MATCH(B972,Configurações!$A$7:$A$30,0)),"?"))</f>
        <v/>
      </c>
      <c r="G972" s="25" t="str">
        <f aca="false">IF(A972="","",A972-WEEKDAY(A972,2)+1)</f>
        <v/>
      </c>
      <c r="H972" s="26" t="str">
        <f aca="false">IF(A972="","",DATE(YEAR(A972),MONTH(A972),1))</f>
        <v/>
      </c>
    </row>
    <row r="973" customFormat="false" ht="15" hidden="false" customHeight="false" outlineLevel="0" collapsed="false">
      <c r="A973" s="22"/>
      <c r="B973" s="23"/>
      <c r="C973" s="23"/>
      <c r="D973" s="24"/>
      <c r="E973" s="23"/>
      <c r="F973" s="15" t="str">
        <f aca="false">IF(B973="","",IFERROR(INDEX(Configurações!$B$7:$B$30,MATCH(B973,Configurações!$A$7:$A$30,0)),"?"))</f>
        <v/>
      </c>
      <c r="G973" s="25" t="str">
        <f aca="false">IF(A973="","",A973-WEEKDAY(A973,2)+1)</f>
        <v/>
      </c>
      <c r="H973" s="26" t="str">
        <f aca="false">IF(A973="","",DATE(YEAR(A973),MONTH(A973),1))</f>
        <v/>
      </c>
    </row>
    <row r="974" customFormat="false" ht="15" hidden="false" customHeight="false" outlineLevel="0" collapsed="false">
      <c r="A974" s="22"/>
      <c r="B974" s="23"/>
      <c r="C974" s="23"/>
      <c r="D974" s="24"/>
      <c r="E974" s="23"/>
      <c r="F974" s="15" t="str">
        <f aca="false">IF(B974="","",IFERROR(INDEX(Configurações!$B$7:$B$30,MATCH(B974,Configurações!$A$7:$A$30,0)),"?"))</f>
        <v/>
      </c>
      <c r="G974" s="25" t="str">
        <f aca="false">IF(A974="","",A974-WEEKDAY(A974,2)+1)</f>
        <v/>
      </c>
      <c r="H974" s="26" t="str">
        <f aca="false">IF(A974="","",DATE(YEAR(A974),MONTH(A974),1))</f>
        <v/>
      </c>
    </row>
    <row r="975" customFormat="false" ht="15" hidden="false" customHeight="false" outlineLevel="0" collapsed="false">
      <c r="A975" s="22"/>
      <c r="B975" s="23"/>
      <c r="C975" s="23"/>
      <c r="D975" s="24"/>
      <c r="E975" s="23"/>
      <c r="F975" s="15" t="str">
        <f aca="false">IF(B975="","",IFERROR(INDEX(Configurações!$B$7:$B$30,MATCH(B975,Configurações!$A$7:$A$30,0)),"?"))</f>
        <v/>
      </c>
      <c r="G975" s="25" t="str">
        <f aca="false">IF(A975="","",A975-WEEKDAY(A975,2)+1)</f>
        <v/>
      </c>
      <c r="H975" s="26" t="str">
        <f aca="false">IF(A975="","",DATE(YEAR(A975),MONTH(A975),1))</f>
        <v/>
      </c>
    </row>
    <row r="976" customFormat="false" ht="15" hidden="false" customHeight="false" outlineLevel="0" collapsed="false">
      <c r="A976" s="22"/>
      <c r="B976" s="23"/>
      <c r="C976" s="23"/>
      <c r="D976" s="24"/>
      <c r="E976" s="23"/>
      <c r="F976" s="15" t="str">
        <f aca="false">IF(B976="","",IFERROR(INDEX(Configurações!$B$7:$B$30,MATCH(B976,Configurações!$A$7:$A$30,0)),"?"))</f>
        <v/>
      </c>
      <c r="G976" s="25" t="str">
        <f aca="false">IF(A976="","",A976-WEEKDAY(A976,2)+1)</f>
        <v/>
      </c>
      <c r="H976" s="26" t="str">
        <f aca="false">IF(A976="","",DATE(YEAR(A976),MONTH(A976),1))</f>
        <v/>
      </c>
    </row>
    <row r="977" customFormat="false" ht="15" hidden="false" customHeight="false" outlineLevel="0" collapsed="false">
      <c r="A977" s="22"/>
      <c r="B977" s="23"/>
      <c r="C977" s="23"/>
      <c r="D977" s="24"/>
      <c r="E977" s="23"/>
      <c r="F977" s="15" t="str">
        <f aca="false">IF(B977="","",IFERROR(INDEX(Configurações!$B$7:$B$30,MATCH(B977,Configurações!$A$7:$A$30,0)),"?"))</f>
        <v/>
      </c>
      <c r="G977" s="25" t="str">
        <f aca="false">IF(A977="","",A977-WEEKDAY(A977,2)+1)</f>
        <v/>
      </c>
      <c r="H977" s="26" t="str">
        <f aca="false">IF(A977="","",DATE(YEAR(A977),MONTH(A977),1))</f>
        <v/>
      </c>
    </row>
    <row r="978" customFormat="false" ht="15" hidden="false" customHeight="false" outlineLevel="0" collapsed="false">
      <c r="A978" s="22"/>
      <c r="B978" s="23"/>
      <c r="C978" s="23"/>
      <c r="D978" s="24"/>
      <c r="E978" s="23"/>
      <c r="F978" s="15" t="str">
        <f aca="false">IF(B978="","",IFERROR(INDEX(Configurações!$B$7:$B$30,MATCH(B978,Configurações!$A$7:$A$30,0)),"?"))</f>
        <v/>
      </c>
      <c r="G978" s="25" t="str">
        <f aca="false">IF(A978="","",A978-WEEKDAY(A978,2)+1)</f>
        <v/>
      </c>
      <c r="H978" s="26" t="str">
        <f aca="false">IF(A978="","",DATE(YEAR(A978),MONTH(A978),1))</f>
        <v/>
      </c>
    </row>
    <row r="979" customFormat="false" ht="15" hidden="false" customHeight="false" outlineLevel="0" collapsed="false">
      <c r="A979" s="22"/>
      <c r="B979" s="23"/>
      <c r="C979" s="23"/>
      <c r="D979" s="24"/>
      <c r="E979" s="23"/>
      <c r="F979" s="15" t="str">
        <f aca="false">IF(B979="","",IFERROR(INDEX(Configurações!$B$7:$B$30,MATCH(B979,Configurações!$A$7:$A$30,0)),"?"))</f>
        <v/>
      </c>
      <c r="G979" s="25" t="str">
        <f aca="false">IF(A979="","",A979-WEEKDAY(A979,2)+1)</f>
        <v/>
      </c>
      <c r="H979" s="26" t="str">
        <f aca="false">IF(A979="","",DATE(YEAR(A979),MONTH(A979),1))</f>
        <v/>
      </c>
    </row>
    <row r="980" customFormat="false" ht="15" hidden="false" customHeight="false" outlineLevel="0" collapsed="false">
      <c r="A980" s="22"/>
      <c r="B980" s="23"/>
      <c r="C980" s="23"/>
      <c r="D980" s="24"/>
      <c r="E980" s="23"/>
      <c r="F980" s="15" t="str">
        <f aca="false">IF(B980="","",IFERROR(INDEX(Configurações!$B$7:$B$30,MATCH(B980,Configurações!$A$7:$A$30,0)),"?"))</f>
        <v/>
      </c>
      <c r="G980" s="25" t="str">
        <f aca="false">IF(A980="","",A980-WEEKDAY(A980,2)+1)</f>
        <v/>
      </c>
      <c r="H980" s="26" t="str">
        <f aca="false">IF(A980="","",DATE(YEAR(A980),MONTH(A980),1))</f>
        <v/>
      </c>
    </row>
    <row r="981" customFormat="false" ht="15" hidden="false" customHeight="false" outlineLevel="0" collapsed="false">
      <c r="A981" s="22"/>
      <c r="B981" s="23"/>
      <c r="C981" s="23"/>
      <c r="D981" s="24"/>
      <c r="E981" s="23"/>
      <c r="F981" s="15" t="str">
        <f aca="false">IF(B981="","",IFERROR(INDEX(Configurações!$B$7:$B$30,MATCH(B981,Configurações!$A$7:$A$30,0)),"?"))</f>
        <v/>
      </c>
      <c r="G981" s="25" t="str">
        <f aca="false">IF(A981="","",A981-WEEKDAY(A981,2)+1)</f>
        <v/>
      </c>
      <c r="H981" s="26" t="str">
        <f aca="false">IF(A981="","",DATE(YEAR(A981),MONTH(A981),1))</f>
        <v/>
      </c>
    </row>
    <row r="982" customFormat="false" ht="15" hidden="false" customHeight="false" outlineLevel="0" collapsed="false">
      <c r="A982" s="22"/>
      <c r="B982" s="23"/>
      <c r="C982" s="23"/>
      <c r="D982" s="24"/>
      <c r="E982" s="23"/>
      <c r="F982" s="15" t="str">
        <f aca="false">IF(B982="","",IFERROR(INDEX(Configurações!$B$7:$B$30,MATCH(B982,Configurações!$A$7:$A$30,0)),"?"))</f>
        <v/>
      </c>
      <c r="G982" s="25" t="str">
        <f aca="false">IF(A982="","",A982-WEEKDAY(A982,2)+1)</f>
        <v/>
      </c>
      <c r="H982" s="26" t="str">
        <f aca="false">IF(A982="","",DATE(YEAR(A982),MONTH(A982),1))</f>
        <v/>
      </c>
    </row>
    <row r="983" customFormat="false" ht="15" hidden="false" customHeight="false" outlineLevel="0" collapsed="false">
      <c r="A983" s="22"/>
      <c r="B983" s="23"/>
      <c r="C983" s="23"/>
      <c r="D983" s="24"/>
      <c r="E983" s="23"/>
      <c r="F983" s="15" t="str">
        <f aca="false">IF(B983="","",IFERROR(INDEX(Configurações!$B$7:$B$30,MATCH(B983,Configurações!$A$7:$A$30,0)),"?"))</f>
        <v/>
      </c>
      <c r="G983" s="25" t="str">
        <f aca="false">IF(A983="","",A983-WEEKDAY(A983,2)+1)</f>
        <v/>
      </c>
      <c r="H983" s="26" t="str">
        <f aca="false">IF(A983="","",DATE(YEAR(A983),MONTH(A983),1))</f>
        <v/>
      </c>
    </row>
    <row r="984" customFormat="false" ht="15" hidden="false" customHeight="false" outlineLevel="0" collapsed="false">
      <c r="A984" s="22"/>
      <c r="B984" s="23"/>
      <c r="C984" s="23"/>
      <c r="D984" s="24"/>
      <c r="E984" s="23"/>
      <c r="F984" s="15" t="str">
        <f aca="false">IF(B984="","",IFERROR(INDEX(Configurações!$B$7:$B$30,MATCH(B984,Configurações!$A$7:$A$30,0)),"?"))</f>
        <v/>
      </c>
      <c r="G984" s="25" t="str">
        <f aca="false">IF(A984="","",A984-WEEKDAY(A984,2)+1)</f>
        <v/>
      </c>
      <c r="H984" s="26" t="str">
        <f aca="false">IF(A984="","",DATE(YEAR(A984),MONTH(A984),1))</f>
        <v/>
      </c>
    </row>
    <row r="985" customFormat="false" ht="15" hidden="false" customHeight="false" outlineLevel="0" collapsed="false">
      <c r="A985" s="22"/>
      <c r="B985" s="23"/>
      <c r="C985" s="23"/>
      <c r="D985" s="24"/>
      <c r="E985" s="23"/>
      <c r="F985" s="15" t="str">
        <f aca="false">IF(B985="","",IFERROR(INDEX(Configurações!$B$7:$B$30,MATCH(B985,Configurações!$A$7:$A$30,0)),"?"))</f>
        <v/>
      </c>
      <c r="G985" s="25" t="str">
        <f aca="false">IF(A985="","",A985-WEEKDAY(A985,2)+1)</f>
        <v/>
      </c>
      <c r="H985" s="26" t="str">
        <f aca="false">IF(A985="","",DATE(YEAR(A985),MONTH(A985),1))</f>
        <v/>
      </c>
    </row>
    <row r="986" customFormat="false" ht="15" hidden="false" customHeight="false" outlineLevel="0" collapsed="false">
      <c r="A986" s="22"/>
      <c r="B986" s="23"/>
      <c r="C986" s="23"/>
      <c r="D986" s="24"/>
      <c r="E986" s="23"/>
      <c r="F986" s="15" t="str">
        <f aca="false">IF(B986="","",IFERROR(INDEX(Configurações!$B$7:$B$30,MATCH(B986,Configurações!$A$7:$A$30,0)),"?"))</f>
        <v/>
      </c>
      <c r="G986" s="25" t="str">
        <f aca="false">IF(A986="","",A986-WEEKDAY(A986,2)+1)</f>
        <v/>
      </c>
      <c r="H986" s="26" t="str">
        <f aca="false">IF(A986="","",DATE(YEAR(A986),MONTH(A986),1))</f>
        <v/>
      </c>
    </row>
    <row r="987" customFormat="false" ht="15" hidden="false" customHeight="false" outlineLevel="0" collapsed="false">
      <c r="A987" s="22"/>
      <c r="B987" s="23"/>
      <c r="C987" s="23"/>
      <c r="D987" s="24"/>
      <c r="E987" s="23"/>
      <c r="F987" s="15" t="str">
        <f aca="false">IF(B987="","",IFERROR(INDEX(Configurações!$B$7:$B$30,MATCH(B987,Configurações!$A$7:$A$30,0)),"?"))</f>
        <v/>
      </c>
      <c r="G987" s="25" t="str">
        <f aca="false">IF(A987="","",A987-WEEKDAY(A987,2)+1)</f>
        <v/>
      </c>
      <c r="H987" s="26" t="str">
        <f aca="false">IF(A987="","",DATE(YEAR(A987),MONTH(A987),1))</f>
        <v/>
      </c>
    </row>
    <row r="988" customFormat="false" ht="15" hidden="false" customHeight="false" outlineLevel="0" collapsed="false">
      <c r="A988" s="22"/>
      <c r="B988" s="23"/>
      <c r="C988" s="23"/>
      <c r="D988" s="24"/>
      <c r="E988" s="23"/>
      <c r="F988" s="15" t="str">
        <f aca="false">IF(B988="","",IFERROR(INDEX(Configurações!$B$7:$B$30,MATCH(B988,Configurações!$A$7:$A$30,0)),"?"))</f>
        <v/>
      </c>
      <c r="G988" s="25" t="str">
        <f aca="false">IF(A988="","",A988-WEEKDAY(A988,2)+1)</f>
        <v/>
      </c>
      <c r="H988" s="26" t="str">
        <f aca="false">IF(A988="","",DATE(YEAR(A988),MONTH(A988),1))</f>
        <v/>
      </c>
    </row>
    <row r="989" customFormat="false" ht="15" hidden="false" customHeight="false" outlineLevel="0" collapsed="false">
      <c r="A989" s="22"/>
      <c r="B989" s="23"/>
      <c r="C989" s="23"/>
      <c r="D989" s="24"/>
      <c r="E989" s="23"/>
      <c r="F989" s="15" t="str">
        <f aca="false">IF(B989="","",IFERROR(INDEX(Configurações!$B$7:$B$30,MATCH(B989,Configurações!$A$7:$A$30,0)),"?"))</f>
        <v/>
      </c>
      <c r="G989" s="25" t="str">
        <f aca="false">IF(A989="","",A989-WEEKDAY(A989,2)+1)</f>
        <v/>
      </c>
      <c r="H989" s="26" t="str">
        <f aca="false">IF(A989="","",DATE(YEAR(A989),MONTH(A989),1))</f>
        <v/>
      </c>
    </row>
    <row r="990" customFormat="false" ht="15" hidden="false" customHeight="false" outlineLevel="0" collapsed="false">
      <c r="A990" s="22"/>
      <c r="B990" s="23"/>
      <c r="C990" s="23"/>
      <c r="D990" s="24"/>
      <c r="E990" s="23"/>
      <c r="F990" s="15" t="str">
        <f aca="false">IF(B990="","",IFERROR(INDEX(Configurações!$B$7:$B$30,MATCH(B990,Configurações!$A$7:$A$30,0)),"?"))</f>
        <v/>
      </c>
      <c r="G990" s="25" t="str">
        <f aca="false">IF(A990="","",A990-WEEKDAY(A990,2)+1)</f>
        <v/>
      </c>
      <c r="H990" s="26" t="str">
        <f aca="false">IF(A990="","",DATE(YEAR(A990),MONTH(A990),1))</f>
        <v/>
      </c>
    </row>
    <row r="991" customFormat="false" ht="15" hidden="false" customHeight="false" outlineLevel="0" collapsed="false">
      <c r="A991" s="22"/>
      <c r="B991" s="23"/>
      <c r="C991" s="23"/>
      <c r="D991" s="24"/>
      <c r="E991" s="23"/>
      <c r="F991" s="15" t="str">
        <f aca="false">IF(B991="","",IFERROR(INDEX(Configurações!$B$7:$B$30,MATCH(B991,Configurações!$A$7:$A$30,0)),"?"))</f>
        <v/>
      </c>
      <c r="G991" s="25" t="str">
        <f aca="false">IF(A991="","",A991-WEEKDAY(A991,2)+1)</f>
        <v/>
      </c>
      <c r="H991" s="26" t="str">
        <f aca="false">IF(A991="","",DATE(YEAR(A991),MONTH(A991),1))</f>
        <v/>
      </c>
    </row>
    <row r="992" customFormat="false" ht="15" hidden="false" customHeight="false" outlineLevel="0" collapsed="false">
      <c r="A992" s="22"/>
      <c r="B992" s="23"/>
      <c r="C992" s="23"/>
      <c r="D992" s="24"/>
      <c r="E992" s="23"/>
      <c r="F992" s="15" t="str">
        <f aca="false">IF(B992="","",IFERROR(INDEX(Configurações!$B$7:$B$30,MATCH(B992,Configurações!$A$7:$A$30,0)),"?"))</f>
        <v/>
      </c>
      <c r="G992" s="25" t="str">
        <f aca="false">IF(A992="","",A992-WEEKDAY(A992,2)+1)</f>
        <v/>
      </c>
      <c r="H992" s="26" t="str">
        <f aca="false">IF(A992="","",DATE(YEAR(A992),MONTH(A992),1))</f>
        <v/>
      </c>
    </row>
    <row r="993" customFormat="false" ht="15" hidden="false" customHeight="false" outlineLevel="0" collapsed="false">
      <c r="A993" s="22"/>
      <c r="B993" s="23"/>
      <c r="C993" s="23"/>
      <c r="D993" s="24"/>
      <c r="E993" s="23"/>
      <c r="F993" s="15" t="str">
        <f aca="false">IF(B993="","",IFERROR(INDEX(Configurações!$B$7:$B$30,MATCH(B993,Configurações!$A$7:$A$30,0)),"?"))</f>
        <v/>
      </c>
      <c r="G993" s="25" t="str">
        <f aca="false">IF(A993="","",A993-WEEKDAY(A993,2)+1)</f>
        <v/>
      </c>
      <c r="H993" s="26" t="str">
        <f aca="false">IF(A993="","",DATE(YEAR(A993),MONTH(A993),1))</f>
        <v/>
      </c>
    </row>
    <row r="994" customFormat="false" ht="15" hidden="false" customHeight="false" outlineLevel="0" collapsed="false">
      <c r="A994" s="22"/>
      <c r="B994" s="23"/>
      <c r="C994" s="23"/>
      <c r="D994" s="24"/>
      <c r="E994" s="23"/>
      <c r="F994" s="15" t="str">
        <f aca="false">IF(B994="","",IFERROR(INDEX(Configurações!$B$7:$B$30,MATCH(B994,Configurações!$A$7:$A$30,0)),"?"))</f>
        <v/>
      </c>
      <c r="G994" s="25" t="str">
        <f aca="false">IF(A994="","",A994-WEEKDAY(A994,2)+1)</f>
        <v/>
      </c>
      <c r="H994" s="26" t="str">
        <f aca="false">IF(A994="","",DATE(YEAR(A994),MONTH(A994),1))</f>
        <v/>
      </c>
    </row>
    <row r="995" customFormat="false" ht="15" hidden="false" customHeight="false" outlineLevel="0" collapsed="false">
      <c r="A995" s="22"/>
      <c r="B995" s="23"/>
      <c r="C995" s="23"/>
      <c r="D995" s="24"/>
      <c r="E995" s="23"/>
      <c r="F995" s="15" t="str">
        <f aca="false">IF(B995="","",IFERROR(INDEX(Configurações!$B$7:$B$30,MATCH(B995,Configurações!$A$7:$A$30,0)),"?"))</f>
        <v/>
      </c>
      <c r="G995" s="25" t="str">
        <f aca="false">IF(A995="","",A995-WEEKDAY(A995,2)+1)</f>
        <v/>
      </c>
      <c r="H995" s="26" t="str">
        <f aca="false">IF(A995="","",DATE(YEAR(A995),MONTH(A995),1))</f>
        <v/>
      </c>
    </row>
    <row r="996" customFormat="false" ht="15" hidden="false" customHeight="false" outlineLevel="0" collapsed="false">
      <c r="A996" s="22"/>
      <c r="B996" s="23"/>
      <c r="C996" s="23"/>
      <c r="D996" s="24"/>
      <c r="E996" s="23"/>
      <c r="F996" s="15" t="str">
        <f aca="false">IF(B996="","",IFERROR(INDEX(Configurações!$B$7:$B$30,MATCH(B996,Configurações!$A$7:$A$30,0)),"?"))</f>
        <v/>
      </c>
      <c r="G996" s="25" t="str">
        <f aca="false">IF(A996="","",A996-WEEKDAY(A996,2)+1)</f>
        <v/>
      </c>
      <c r="H996" s="26" t="str">
        <f aca="false">IF(A996="","",DATE(YEAR(A996),MONTH(A996),1))</f>
        <v/>
      </c>
    </row>
    <row r="997" customFormat="false" ht="15" hidden="false" customHeight="false" outlineLevel="0" collapsed="false">
      <c r="A997" s="22"/>
      <c r="B997" s="23"/>
      <c r="C997" s="23"/>
      <c r="D997" s="24"/>
      <c r="E997" s="23"/>
      <c r="F997" s="15" t="str">
        <f aca="false">IF(B997="","",IFERROR(INDEX(Configurações!$B$7:$B$30,MATCH(B997,Configurações!$A$7:$A$30,0)),"?"))</f>
        <v/>
      </c>
      <c r="G997" s="25" t="str">
        <f aca="false">IF(A997="","",A997-WEEKDAY(A997,2)+1)</f>
        <v/>
      </c>
      <c r="H997" s="26" t="str">
        <f aca="false">IF(A997="","",DATE(YEAR(A997),MONTH(A997),1))</f>
        <v/>
      </c>
    </row>
    <row r="998" customFormat="false" ht="15" hidden="false" customHeight="false" outlineLevel="0" collapsed="false">
      <c r="A998" s="22"/>
      <c r="B998" s="23"/>
      <c r="C998" s="23"/>
      <c r="D998" s="24"/>
      <c r="E998" s="23"/>
      <c r="F998" s="15" t="str">
        <f aca="false">IF(B998="","",IFERROR(INDEX(Configurações!$B$7:$B$30,MATCH(B998,Configurações!$A$7:$A$30,0)),"?"))</f>
        <v/>
      </c>
      <c r="G998" s="25" t="str">
        <f aca="false">IF(A998="","",A998-WEEKDAY(A998,2)+1)</f>
        <v/>
      </c>
      <c r="H998" s="26" t="str">
        <f aca="false">IF(A998="","",DATE(YEAR(A998),MONTH(A998),1))</f>
        <v/>
      </c>
    </row>
    <row r="999" customFormat="false" ht="15" hidden="false" customHeight="false" outlineLevel="0" collapsed="false">
      <c r="A999" s="22"/>
      <c r="B999" s="23"/>
      <c r="C999" s="23"/>
      <c r="D999" s="24"/>
      <c r="E999" s="23"/>
      <c r="F999" s="15" t="str">
        <f aca="false">IF(B999="","",IFERROR(INDEX(Configurações!$B$7:$B$30,MATCH(B999,Configurações!$A$7:$A$30,0)),"?"))</f>
        <v/>
      </c>
      <c r="G999" s="25" t="str">
        <f aca="false">IF(A999="","",A999-WEEKDAY(A999,2)+1)</f>
        <v/>
      </c>
      <c r="H999" s="26" t="str">
        <f aca="false">IF(A999="","",DATE(YEAR(A999),MONTH(A999),1))</f>
        <v/>
      </c>
    </row>
    <row r="1000" customFormat="false" ht="15" hidden="false" customHeight="false" outlineLevel="0" collapsed="false">
      <c r="A1000" s="22"/>
      <c r="B1000" s="23"/>
      <c r="C1000" s="23"/>
      <c r="D1000" s="24"/>
      <c r="E1000" s="23"/>
      <c r="F1000" s="15" t="str">
        <f aca="false">IF(B1000="","",IFERROR(INDEX(Configurações!$B$7:$B$30,MATCH(B1000,Configurações!$A$7:$A$30,0)),"?"))</f>
        <v/>
      </c>
      <c r="G1000" s="25" t="str">
        <f aca="false">IF(A1000="","",A1000-WEEKDAY(A1000,2)+1)</f>
        <v/>
      </c>
      <c r="H1000" s="26" t="str">
        <f aca="false">IF(A1000="","",DATE(YEAR(A1000),MONTH(A1000),1))</f>
        <v/>
      </c>
    </row>
    <row r="1001" customFormat="false" ht="15" hidden="false" customHeight="false" outlineLevel="0" collapsed="false">
      <c r="A1001" s="22"/>
      <c r="B1001" s="23"/>
      <c r="C1001" s="23"/>
      <c r="D1001" s="24"/>
      <c r="E1001" s="23"/>
      <c r="F1001" s="15" t="str">
        <f aca="false">IF(B1001="","",IFERROR(INDEX(Configurações!$B$7:$B$30,MATCH(B1001,Configurações!$A$7:$A$30,0)),"?"))</f>
        <v/>
      </c>
      <c r="G1001" s="25" t="str">
        <f aca="false">IF(A1001="","",A1001-WEEKDAY(A1001,2)+1)</f>
        <v/>
      </c>
      <c r="H1001" s="26" t="str">
        <f aca="false">IF(A1001="","",DATE(YEAR(A1001),MONTH(A1001),1))</f>
        <v/>
      </c>
    </row>
    <row r="1002" customFormat="false" ht="15" hidden="false" customHeight="false" outlineLevel="0" collapsed="false">
      <c r="A1002" s="22"/>
      <c r="B1002" s="23"/>
      <c r="C1002" s="23"/>
      <c r="D1002" s="24"/>
      <c r="E1002" s="23"/>
      <c r="F1002" s="15" t="str">
        <f aca="false">IF(B1002="","",IFERROR(INDEX(Configurações!$B$7:$B$30,MATCH(B1002,Configurações!$A$7:$A$30,0)),"?"))</f>
        <v/>
      </c>
      <c r="G1002" s="25" t="str">
        <f aca="false">IF(A1002="","",A1002-WEEKDAY(A1002,2)+1)</f>
        <v/>
      </c>
      <c r="H1002" s="26" t="str">
        <f aca="false">IF(A1002="","",DATE(YEAR(A1002),MONTH(A1002),1))</f>
        <v/>
      </c>
    </row>
    <row r="1003" customFormat="false" ht="15" hidden="false" customHeight="false" outlineLevel="0" collapsed="false">
      <c r="A1003" s="22"/>
      <c r="B1003" s="23"/>
      <c r="C1003" s="23"/>
      <c r="D1003" s="24"/>
      <c r="E1003" s="23"/>
      <c r="F1003" s="15" t="str">
        <f aca="false">IF(B1003="","",IFERROR(INDEX(Configurações!$B$7:$B$30,MATCH(B1003,Configurações!$A$7:$A$30,0)),"?"))</f>
        <v/>
      </c>
      <c r="G1003" s="25" t="str">
        <f aca="false">IF(A1003="","",A1003-WEEKDAY(A1003,2)+1)</f>
        <v/>
      </c>
      <c r="H1003" s="26" t="str">
        <f aca="false">IF(A1003="","",DATE(YEAR(A1003),MONTH(A1003),1))</f>
        <v/>
      </c>
    </row>
    <row r="1004" customFormat="false" ht="15" hidden="false" customHeight="false" outlineLevel="0" collapsed="false">
      <c r="A1004" s="22"/>
      <c r="B1004" s="23"/>
      <c r="C1004" s="23"/>
      <c r="D1004" s="24"/>
      <c r="E1004" s="23"/>
      <c r="F1004" s="15" t="str">
        <f aca="false">IF(B1004="","",IFERROR(INDEX(Configurações!$B$7:$B$30,MATCH(B1004,Configurações!$A$7:$A$30,0)),"?"))</f>
        <v/>
      </c>
      <c r="G1004" s="25" t="str">
        <f aca="false">IF(A1004="","",A1004-WEEKDAY(A1004,2)+1)</f>
        <v/>
      </c>
      <c r="H1004" s="26" t="str">
        <f aca="false">IF(A1004="","",DATE(YEAR(A1004),MONTH(A1004),1))</f>
        <v/>
      </c>
    </row>
    <row r="1005" customFormat="false" ht="15" hidden="false" customHeight="false" outlineLevel="0" collapsed="false">
      <c r="A1005" s="22"/>
      <c r="B1005" s="23"/>
      <c r="C1005" s="23"/>
      <c r="D1005" s="24"/>
      <c r="E1005" s="23"/>
      <c r="F1005" s="15" t="str">
        <f aca="false">IF(B1005="","",IFERROR(INDEX(Configurações!$B$7:$B$30,MATCH(B1005,Configurações!$A$7:$A$30,0)),"?"))</f>
        <v/>
      </c>
      <c r="G1005" s="25" t="str">
        <f aca="false">IF(A1005="","",A1005-WEEKDAY(A1005,2)+1)</f>
        <v/>
      </c>
      <c r="H1005" s="26" t="str">
        <f aca="false">IF(A1005="","",DATE(YEAR(A1005),MONTH(A1005),1))</f>
        <v/>
      </c>
    </row>
    <row r="1006" customFormat="false" ht="15" hidden="false" customHeight="false" outlineLevel="0" collapsed="false">
      <c r="A1006" s="22"/>
      <c r="B1006" s="23"/>
      <c r="C1006" s="23"/>
      <c r="D1006" s="24"/>
      <c r="E1006" s="23"/>
      <c r="F1006" s="15" t="str">
        <f aca="false">IF(B1006="","",IFERROR(INDEX(Configurações!$B$7:$B$30,MATCH(B1006,Configurações!$A$7:$A$30,0)),"?"))</f>
        <v/>
      </c>
      <c r="G1006" s="25" t="str">
        <f aca="false">IF(A1006="","",A1006-WEEKDAY(A1006,2)+1)</f>
        <v/>
      </c>
      <c r="H1006" s="26" t="str">
        <f aca="false">IF(A1006="","",DATE(YEAR(A1006),MONTH(A1006),1))</f>
        <v/>
      </c>
    </row>
    <row r="1007" customFormat="false" ht="15" hidden="false" customHeight="false" outlineLevel="0" collapsed="false">
      <c r="A1007" s="22"/>
      <c r="B1007" s="23"/>
      <c r="C1007" s="23"/>
      <c r="D1007" s="24"/>
      <c r="E1007" s="23"/>
      <c r="F1007" s="15" t="str">
        <f aca="false">IF(B1007="","",IFERROR(INDEX(Configurações!$B$7:$B$30,MATCH(B1007,Configurações!$A$7:$A$30,0)),"?"))</f>
        <v/>
      </c>
      <c r="G1007" s="25" t="str">
        <f aca="false">IF(A1007="","",A1007-WEEKDAY(A1007,2)+1)</f>
        <v/>
      </c>
      <c r="H1007" s="26" t="str">
        <f aca="false">IF(A1007="","",DATE(YEAR(A1007),MONTH(A1007),1))</f>
        <v/>
      </c>
    </row>
    <row r="1008" customFormat="false" ht="15" hidden="false" customHeight="false" outlineLevel="0" collapsed="false">
      <c r="A1008" s="22"/>
      <c r="B1008" s="23"/>
      <c r="C1008" s="23"/>
      <c r="D1008" s="24"/>
      <c r="E1008" s="23"/>
      <c r="F1008" s="15" t="str">
        <f aca="false">IF(B1008="","",IFERROR(INDEX(Configurações!$B$7:$B$30,MATCH(B1008,Configurações!$A$7:$A$30,0)),"?"))</f>
        <v/>
      </c>
      <c r="G1008" s="25" t="str">
        <f aca="false">IF(A1008="","",A1008-WEEKDAY(A1008,2)+1)</f>
        <v/>
      </c>
      <c r="H1008" s="26" t="str">
        <f aca="false">IF(A1008="","",DATE(YEAR(A1008),MONTH(A1008),1))</f>
        <v/>
      </c>
    </row>
    <row r="1009" customFormat="false" ht="15" hidden="false" customHeight="false" outlineLevel="0" collapsed="false">
      <c r="A1009" s="22"/>
      <c r="B1009" s="23"/>
      <c r="C1009" s="23"/>
      <c r="D1009" s="24"/>
      <c r="E1009" s="23"/>
      <c r="F1009" s="15" t="str">
        <f aca="false">IF(B1009="","",IFERROR(INDEX(Configurações!$B$7:$B$30,MATCH(B1009,Configurações!$A$7:$A$30,0)),"?"))</f>
        <v/>
      </c>
      <c r="G1009" s="25" t="str">
        <f aca="false">IF(A1009="","",A1009-WEEKDAY(A1009,2)+1)</f>
        <v/>
      </c>
      <c r="H1009" s="26" t="str">
        <f aca="false">IF(A1009="","",DATE(YEAR(A1009),MONTH(A1009),1))</f>
        <v/>
      </c>
    </row>
    <row r="1010" customFormat="false" ht="15" hidden="false" customHeight="false" outlineLevel="0" collapsed="false">
      <c r="A1010" s="22"/>
      <c r="B1010" s="23"/>
      <c r="C1010" s="23"/>
      <c r="D1010" s="24"/>
      <c r="E1010" s="23"/>
      <c r="F1010" s="15" t="str">
        <f aca="false">IF(B1010="","",IFERROR(INDEX(Configurações!$B$7:$B$30,MATCH(B1010,Configurações!$A$7:$A$30,0)),"?"))</f>
        <v/>
      </c>
      <c r="G1010" s="25" t="str">
        <f aca="false">IF(A1010="","",A1010-WEEKDAY(A1010,2)+1)</f>
        <v/>
      </c>
      <c r="H1010" s="26" t="str">
        <f aca="false">IF(A1010="","",DATE(YEAR(A1010),MONTH(A1010),1))</f>
        <v/>
      </c>
    </row>
    <row r="1011" customFormat="false" ht="15" hidden="false" customHeight="false" outlineLevel="0" collapsed="false">
      <c r="A1011" s="22"/>
      <c r="B1011" s="23"/>
      <c r="C1011" s="23"/>
      <c r="D1011" s="24"/>
      <c r="E1011" s="23"/>
      <c r="F1011" s="15" t="str">
        <f aca="false">IF(B1011="","",IFERROR(INDEX(Configurações!$B$7:$B$30,MATCH(B1011,Configurações!$A$7:$A$30,0)),"?"))</f>
        <v/>
      </c>
      <c r="G1011" s="25" t="str">
        <f aca="false">IF(A1011="","",A1011-WEEKDAY(A1011,2)+1)</f>
        <v/>
      </c>
      <c r="H1011" s="26" t="str">
        <f aca="false">IF(A1011="","",DATE(YEAR(A1011),MONTH(A1011),1))</f>
        <v/>
      </c>
    </row>
    <row r="1012" customFormat="false" ht="15" hidden="false" customHeight="false" outlineLevel="0" collapsed="false">
      <c r="A1012" s="22"/>
      <c r="B1012" s="23"/>
      <c r="C1012" s="23"/>
      <c r="D1012" s="24"/>
      <c r="E1012" s="23"/>
      <c r="F1012" s="15" t="str">
        <f aca="false">IF(B1012="","",IFERROR(INDEX(Configurações!$B$7:$B$30,MATCH(B1012,Configurações!$A$7:$A$30,0)),"?"))</f>
        <v/>
      </c>
      <c r="G1012" s="25" t="str">
        <f aca="false">IF(A1012="","",A1012-WEEKDAY(A1012,2)+1)</f>
        <v/>
      </c>
      <c r="H1012" s="26" t="str">
        <f aca="false">IF(A1012="","",DATE(YEAR(A1012),MONTH(A1012),1))</f>
        <v/>
      </c>
    </row>
    <row r="1013" customFormat="false" ht="15" hidden="false" customHeight="false" outlineLevel="0" collapsed="false">
      <c r="A1013" s="22"/>
      <c r="B1013" s="23"/>
      <c r="C1013" s="23"/>
      <c r="D1013" s="24"/>
      <c r="E1013" s="23"/>
      <c r="F1013" s="15" t="str">
        <f aca="false">IF(B1013="","",IFERROR(INDEX(Configurações!$B$7:$B$30,MATCH(B1013,Configurações!$A$7:$A$30,0)),"?"))</f>
        <v/>
      </c>
      <c r="G1013" s="25" t="str">
        <f aca="false">IF(A1013="","",A1013-WEEKDAY(A1013,2)+1)</f>
        <v/>
      </c>
      <c r="H1013" s="26" t="str">
        <f aca="false">IF(A1013="","",DATE(YEAR(A1013),MONTH(A1013),1))</f>
        <v/>
      </c>
    </row>
    <row r="1014" customFormat="false" ht="15" hidden="false" customHeight="false" outlineLevel="0" collapsed="false">
      <c r="A1014" s="22"/>
      <c r="B1014" s="23"/>
      <c r="C1014" s="23"/>
      <c r="D1014" s="24"/>
      <c r="E1014" s="23"/>
      <c r="F1014" s="15" t="str">
        <f aca="false">IF(B1014="","",IFERROR(INDEX(Configurações!$B$7:$B$30,MATCH(B1014,Configurações!$A$7:$A$30,0)),"?"))</f>
        <v/>
      </c>
      <c r="G1014" s="25" t="str">
        <f aca="false">IF(A1014="","",A1014-WEEKDAY(A1014,2)+1)</f>
        <v/>
      </c>
      <c r="H1014" s="26" t="str">
        <f aca="false">IF(A1014="","",DATE(YEAR(A1014),MONTH(A1014),1))</f>
        <v/>
      </c>
    </row>
    <row r="1015" customFormat="false" ht="15" hidden="false" customHeight="false" outlineLevel="0" collapsed="false">
      <c r="A1015" s="22"/>
      <c r="B1015" s="23"/>
      <c r="C1015" s="23"/>
      <c r="D1015" s="24"/>
      <c r="E1015" s="23"/>
      <c r="F1015" s="15" t="str">
        <f aca="false">IF(B1015="","",IFERROR(INDEX(Configurações!$B$7:$B$30,MATCH(B1015,Configurações!$A$7:$A$30,0)),"?"))</f>
        <v/>
      </c>
      <c r="G1015" s="25" t="str">
        <f aca="false">IF(A1015="","",A1015-WEEKDAY(A1015,2)+1)</f>
        <v/>
      </c>
      <c r="H1015" s="26" t="str">
        <f aca="false">IF(A1015="","",DATE(YEAR(A1015),MONTH(A1015),1))</f>
        <v/>
      </c>
    </row>
    <row r="1016" customFormat="false" ht="15" hidden="false" customHeight="false" outlineLevel="0" collapsed="false">
      <c r="A1016" s="22"/>
      <c r="B1016" s="23"/>
      <c r="C1016" s="23"/>
      <c r="D1016" s="24"/>
      <c r="E1016" s="23"/>
      <c r="F1016" s="15" t="str">
        <f aca="false">IF(B1016="","",IFERROR(INDEX(Configurações!$B$7:$B$30,MATCH(B1016,Configurações!$A$7:$A$30,0)),"?"))</f>
        <v/>
      </c>
      <c r="G1016" s="25" t="str">
        <f aca="false">IF(A1016="","",A1016-WEEKDAY(A1016,2)+1)</f>
        <v/>
      </c>
      <c r="H1016" s="26" t="str">
        <f aca="false">IF(A1016="","",DATE(YEAR(A1016),MONTH(A1016),1))</f>
        <v/>
      </c>
    </row>
    <row r="1017" customFormat="false" ht="15" hidden="false" customHeight="false" outlineLevel="0" collapsed="false">
      <c r="A1017" s="22"/>
      <c r="B1017" s="23"/>
      <c r="C1017" s="23"/>
      <c r="D1017" s="24"/>
      <c r="E1017" s="23"/>
      <c r="F1017" s="15" t="str">
        <f aca="false">IF(B1017="","",IFERROR(INDEX(Configurações!$B$7:$B$30,MATCH(B1017,Configurações!$A$7:$A$30,0)),"?"))</f>
        <v/>
      </c>
      <c r="G1017" s="25" t="str">
        <f aca="false">IF(A1017="","",A1017-WEEKDAY(A1017,2)+1)</f>
        <v/>
      </c>
      <c r="H1017" s="26" t="str">
        <f aca="false">IF(A1017="","",DATE(YEAR(A1017),MONTH(A1017),1))</f>
        <v/>
      </c>
    </row>
    <row r="1018" customFormat="false" ht="15" hidden="false" customHeight="false" outlineLevel="0" collapsed="false">
      <c r="A1018" s="22"/>
      <c r="B1018" s="23"/>
      <c r="C1018" s="23"/>
      <c r="D1018" s="24"/>
      <c r="E1018" s="23"/>
      <c r="F1018" s="15" t="str">
        <f aca="false">IF(B1018="","",IFERROR(INDEX(Configurações!$B$7:$B$30,MATCH(B1018,Configurações!$A$7:$A$30,0)),"?"))</f>
        <v/>
      </c>
      <c r="G1018" s="25" t="str">
        <f aca="false">IF(A1018="","",A1018-WEEKDAY(A1018,2)+1)</f>
        <v/>
      </c>
      <c r="H1018" s="26" t="str">
        <f aca="false">IF(A1018="","",DATE(YEAR(A1018),MONTH(A1018),1))</f>
        <v/>
      </c>
    </row>
    <row r="1019" customFormat="false" ht="15" hidden="false" customHeight="false" outlineLevel="0" collapsed="false">
      <c r="A1019" s="22"/>
      <c r="B1019" s="23"/>
      <c r="C1019" s="23"/>
      <c r="D1019" s="24"/>
      <c r="E1019" s="23"/>
      <c r="F1019" s="15" t="str">
        <f aca="false">IF(B1019="","",IFERROR(INDEX(Configurações!$B$7:$B$30,MATCH(B1019,Configurações!$A$7:$A$30,0)),"?"))</f>
        <v/>
      </c>
      <c r="G1019" s="25" t="str">
        <f aca="false">IF(A1019="","",A1019-WEEKDAY(A1019,2)+1)</f>
        <v/>
      </c>
      <c r="H1019" s="26" t="str">
        <f aca="false">IF(A1019="","",DATE(YEAR(A1019),MONTH(A1019),1))</f>
        <v/>
      </c>
    </row>
    <row r="1020" customFormat="false" ht="15" hidden="false" customHeight="false" outlineLevel="0" collapsed="false">
      <c r="A1020" s="22"/>
      <c r="B1020" s="23"/>
      <c r="C1020" s="23"/>
      <c r="D1020" s="24"/>
      <c r="E1020" s="23"/>
      <c r="F1020" s="15" t="str">
        <f aca="false">IF(B1020="","",IFERROR(INDEX(Configurações!$B$7:$B$30,MATCH(B1020,Configurações!$A$7:$A$30,0)),"?"))</f>
        <v/>
      </c>
      <c r="G1020" s="25" t="str">
        <f aca="false">IF(A1020="","",A1020-WEEKDAY(A1020,2)+1)</f>
        <v/>
      </c>
      <c r="H1020" s="26" t="str">
        <f aca="false">IF(A1020="","",DATE(YEAR(A1020),MONTH(A1020),1))</f>
        <v/>
      </c>
    </row>
    <row r="1021" customFormat="false" ht="15" hidden="false" customHeight="false" outlineLevel="0" collapsed="false">
      <c r="A1021" s="22"/>
      <c r="B1021" s="23"/>
      <c r="C1021" s="23"/>
      <c r="D1021" s="24"/>
      <c r="E1021" s="23"/>
      <c r="F1021" s="15" t="str">
        <f aca="false">IF(B1021="","",IFERROR(INDEX(Configurações!$B$7:$B$30,MATCH(B1021,Configurações!$A$7:$A$30,0)),"?"))</f>
        <v/>
      </c>
      <c r="G1021" s="25" t="str">
        <f aca="false">IF(A1021="","",A1021-WEEKDAY(A1021,2)+1)</f>
        <v/>
      </c>
      <c r="H1021" s="26" t="str">
        <f aca="false">IF(A1021="","",DATE(YEAR(A1021),MONTH(A1021),1))</f>
        <v/>
      </c>
    </row>
    <row r="1022" customFormat="false" ht="15" hidden="false" customHeight="false" outlineLevel="0" collapsed="false">
      <c r="A1022" s="22"/>
      <c r="B1022" s="23"/>
      <c r="C1022" s="23"/>
      <c r="D1022" s="24"/>
      <c r="E1022" s="23"/>
      <c r="F1022" s="15" t="str">
        <f aca="false">IF(B1022="","",IFERROR(INDEX(Configurações!$B$7:$B$30,MATCH(B1022,Configurações!$A$7:$A$30,0)),"?"))</f>
        <v/>
      </c>
      <c r="G1022" s="25" t="str">
        <f aca="false">IF(A1022="","",A1022-WEEKDAY(A1022,2)+1)</f>
        <v/>
      </c>
      <c r="H1022" s="26" t="str">
        <f aca="false">IF(A1022="","",DATE(YEAR(A1022),MONTH(A1022),1))</f>
        <v/>
      </c>
    </row>
    <row r="1023" customFormat="false" ht="15" hidden="false" customHeight="false" outlineLevel="0" collapsed="false">
      <c r="A1023" s="22"/>
      <c r="B1023" s="23"/>
      <c r="C1023" s="23"/>
      <c r="D1023" s="24"/>
      <c r="E1023" s="23"/>
      <c r="F1023" s="15" t="str">
        <f aca="false">IF(B1023="","",IFERROR(INDEX(Configurações!$B$7:$B$30,MATCH(B1023,Configurações!$A$7:$A$30,0)),"?"))</f>
        <v/>
      </c>
      <c r="G1023" s="25" t="str">
        <f aca="false">IF(A1023="","",A1023-WEEKDAY(A1023,2)+1)</f>
        <v/>
      </c>
      <c r="H1023" s="26" t="str">
        <f aca="false">IF(A1023="","",DATE(YEAR(A1023),MONTH(A1023),1))</f>
        <v/>
      </c>
    </row>
    <row r="1024" customFormat="false" ht="15" hidden="false" customHeight="false" outlineLevel="0" collapsed="false">
      <c r="A1024" s="22"/>
      <c r="B1024" s="23"/>
      <c r="C1024" s="23"/>
      <c r="D1024" s="24"/>
      <c r="E1024" s="23"/>
      <c r="F1024" s="15" t="str">
        <f aca="false">IF(B1024="","",IFERROR(INDEX(Configurações!$B$7:$B$30,MATCH(B1024,Configurações!$A$7:$A$30,0)),"?"))</f>
        <v/>
      </c>
      <c r="G1024" s="25" t="str">
        <f aca="false">IF(A1024="","",A1024-WEEKDAY(A1024,2)+1)</f>
        <v/>
      </c>
      <c r="H1024" s="26" t="str">
        <f aca="false">IF(A1024="","",DATE(YEAR(A1024),MONTH(A1024),1))</f>
        <v/>
      </c>
    </row>
    <row r="1025" customFormat="false" ht="15" hidden="false" customHeight="false" outlineLevel="0" collapsed="false">
      <c r="A1025" s="22"/>
      <c r="B1025" s="23"/>
      <c r="C1025" s="23"/>
      <c r="D1025" s="24"/>
      <c r="E1025" s="23"/>
      <c r="F1025" s="15" t="str">
        <f aca="false">IF(B1025="","",IFERROR(INDEX(Configurações!$B$7:$B$30,MATCH(B1025,Configurações!$A$7:$A$30,0)),"?"))</f>
        <v/>
      </c>
      <c r="G1025" s="25" t="str">
        <f aca="false">IF(A1025="","",A1025-WEEKDAY(A1025,2)+1)</f>
        <v/>
      </c>
      <c r="H1025" s="26" t="str">
        <f aca="false">IF(A1025="","",DATE(YEAR(A1025),MONTH(A1025),1))</f>
        <v/>
      </c>
    </row>
    <row r="1026" customFormat="false" ht="15" hidden="false" customHeight="false" outlineLevel="0" collapsed="false">
      <c r="A1026" s="22"/>
      <c r="B1026" s="23"/>
      <c r="C1026" s="23"/>
      <c r="D1026" s="24"/>
      <c r="E1026" s="23"/>
      <c r="F1026" s="15" t="str">
        <f aca="false">IF(B1026="","",IFERROR(INDEX(Configurações!$B$7:$B$30,MATCH(B1026,Configurações!$A$7:$A$30,0)),"?"))</f>
        <v/>
      </c>
      <c r="G1026" s="25" t="str">
        <f aca="false">IF(A1026="","",A1026-WEEKDAY(A1026,2)+1)</f>
        <v/>
      </c>
      <c r="H1026" s="26" t="str">
        <f aca="false">IF(A1026="","",DATE(YEAR(A1026),MONTH(A1026),1))</f>
        <v/>
      </c>
    </row>
    <row r="1027" customFormat="false" ht="15" hidden="false" customHeight="false" outlineLevel="0" collapsed="false">
      <c r="A1027" s="22"/>
      <c r="B1027" s="23"/>
      <c r="C1027" s="23"/>
      <c r="D1027" s="24"/>
      <c r="E1027" s="23"/>
      <c r="F1027" s="15" t="str">
        <f aca="false">IF(B1027="","",IFERROR(INDEX(Configurações!$B$7:$B$30,MATCH(B1027,Configurações!$A$7:$A$30,0)),"?"))</f>
        <v/>
      </c>
      <c r="G1027" s="25" t="str">
        <f aca="false">IF(A1027="","",A1027-WEEKDAY(A1027,2)+1)</f>
        <v/>
      </c>
      <c r="H1027" s="26" t="str">
        <f aca="false">IF(A1027="","",DATE(YEAR(A1027),MONTH(A1027),1))</f>
        <v/>
      </c>
    </row>
    <row r="1028" customFormat="false" ht="15" hidden="false" customHeight="false" outlineLevel="0" collapsed="false">
      <c r="A1028" s="22"/>
      <c r="B1028" s="23"/>
      <c r="C1028" s="23"/>
      <c r="D1028" s="24"/>
      <c r="E1028" s="23"/>
      <c r="F1028" s="15" t="str">
        <f aca="false">IF(B1028="","",IFERROR(INDEX(Configurações!$B$7:$B$30,MATCH(B1028,Configurações!$A$7:$A$30,0)),"?"))</f>
        <v/>
      </c>
      <c r="G1028" s="25" t="str">
        <f aca="false">IF(A1028="","",A1028-WEEKDAY(A1028,2)+1)</f>
        <v/>
      </c>
      <c r="H1028" s="26" t="str">
        <f aca="false">IF(A1028="","",DATE(YEAR(A1028),MONTH(A1028),1))</f>
        <v/>
      </c>
    </row>
    <row r="1029" customFormat="false" ht="15" hidden="false" customHeight="false" outlineLevel="0" collapsed="false">
      <c r="A1029" s="22"/>
      <c r="B1029" s="23"/>
      <c r="C1029" s="23"/>
      <c r="D1029" s="24"/>
      <c r="E1029" s="23"/>
      <c r="F1029" s="15" t="str">
        <f aca="false">IF(B1029="","",IFERROR(INDEX(Configurações!$B$7:$B$30,MATCH(B1029,Configurações!$A$7:$A$30,0)),"?"))</f>
        <v/>
      </c>
      <c r="G1029" s="25" t="str">
        <f aca="false">IF(A1029="","",A1029-WEEKDAY(A1029,2)+1)</f>
        <v/>
      </c>
      <c r="H1029" s="26" t="str">
        <f aca="false">IF(A1029="","",DATE(YEAR(A1029),MONTH(A1029),1))</f>
        <v/>
      </c>
    </row>
    <row r="1030" customFormat="false" ht="15" hidden="false" customHeight="false" outlineLevel="0" collapsed="false">
      <c r="A1030" s="22"/>
      <c r="B1030" s="23"/>
      <c r="C1030" s="23"/>
      <c r="D1030" s="24"/>
      <c r="E1030" s="23"/>
      <c r="F1030" s="15" t="str">
        <f aca="false">IF(B1030="","",IFERROR(INDEX(Configurações!$B$7:$B$30,MATCH(B1030,Configurações!$A$7:$A$30,0)),"?"))</f>
        <v/>
      </c>
      <c r="G1030" s="25" t="str">
        <f aca="false">IF(A1030="","",A1030-WEEKDAY(A1030,2)+1)</f>
        <v/>
      </c>
      <c r="H1030" s="26" t="str">
        <f aca="false">IF(A1030="","",DATE(YEAR(A1030),MONTH(A1030),1))</f>
        <v/>
      </c>
    </row>
    <row r="1031" customFormat="false" ht="15" hidden="false" customHeight="false" outlineLevel="0" collapsed="false">
      <c r="A1031" s="22"/>
      <c r="B1031" s="23"/>
      <c r="C1031" s="23"/>
      <c r="D1031" s="24"/>
      <c r="E1031" s="23"/>
      <c r="F1031" s="15" t="str">
        <f aca="false">IF(B1031="","",IFERROR(INDEX(Configurações!$B$7:$B$30,MATCH(B1031,Configurações!$A$7:$A$30,0)),"?"))</f>
        <v/>
      </c>
      <c r="G1031" s="25" t="str">
        <f aca="false">IF(A1031="","",A1031-WEEKDAY(A1031,2)+1)</f>
        <v/>
      </c>
      <c r="H1031" s="26" t="str">
        <f aca="false">IF(A1031="","",DATE(YEAR(A1031),MONTH(A1031),1))</f>
        <v/>
      </c>
    </row>
    <row r="1032" customFormat="false" ht="15" hidden="false" customHeight="false" outlineLevel="0" collapsed="false">
      <c r="A1032" s="22"/>
      <c r="B1032" s="23"/>
      <c r="C1032" s="23"/>
      <c r="D1032" s="24"/>
      <c r="E1032" s="23"/>
      <c r="F1032" s="15" t="str">
        <f aca="false">IF(B1032="","",IFERROR(INDEX(Configurações!$B$7:$B$30,MATCH(B1032,Configurações!$A$7:$A$30,0)),"?"))</f>
        <v/>
      </c>
      <c r="G1032" s="25" t="str">
        <f aca="false">IF(A1032="","",A1032-WEEKDAY(A1032,2)+1)</f>
        <v/>
      </c>
      <c r="H1032" s="26" t="str">
        <f aca="false">IF(A1032="","",DATE(YEAR(A1032),MONTH(A1032),1))</f>
        <v/>
      </c>
    </row>
    <row r="1033" customFormat="false" ht="15" hidden="false" customHeight="false" outlineLevel="0" collapsed="false">
      <c r="A1033" s="22"/>
      <c r="B1033" s="23"/>
      <c r="C1033" s="23"/>
      <c r="D1033" s="24"/>
      <c r="E1033" s="23"/>
      <c r="F1033" s="15" t="str">
        <f aca="false">IF(B1033="","",IFERROR(INDEX(Configurações!$B$7:$B$30,MATCH(B1033,Configurações!$A$7:$A$30,0)),"?"))</f>
        <v/>
      </c>
      <c r="G1033" s="25" t="str">
        <f aca="false">IF(A1033="","",A1033-WEEKDAY(A1033,2)+1)</f>
        <v/>
      </c>
      <c r="H1033" s="26" t="str">
        <f aca="false">IF(A1033="","",DATE(YEAR(A1033),MONTH(A1033),1))</f>
        <v/>
      </c>
    </row>
    <row r="1034" customFormat="false" ht="15" hidden="false" customHeight="false" outlineLevel="0" collapsed="false">
      <c r="A1034" s="22"/>
      <c r="B1034" s="23"/>
      <c r="C1034" s="23"/>
      <c r="D1034" s="24"/>
      <c r="E1034" s="23"/>
      <c r="F1034" s="15" t="str">
        <f aca="false">IF(B1034="","",IFERROR(INDEX(Configurações!$B$7:$B$30,MATCH(B1034,Configurações!$A$7:$A$30,0)),"?"))</f>
        <v/>
      </c>
      <c r="G1034" s="25" t="str">
        <f aca="false">IF(A1034="","",A1034-WEEKDAY(A1034,2)+1)</f>
        <v/>
      </c>
      <c r="H1034" s="26" t="str">
        <f aca="false">IF(A1034="","",DATE(YEAR(A1034),MONTH(A1034),1))</f>
        <v/>
      </c>
    </row>
    <row r="1035" customFormat="false" ht="15" hidden="false" customHeight="false" outlineLevel="0" collapsed="false">
      <c r="A1035" s="22"/>
      <c r="B1035" s="23"/>
      <c r="C1035" s="23"/>
      <c r="D1035" s="24"/>
      <c r="E1035" s="23"/>
      <c r="F1035" s="15" t="str">
        <f aca="false">IF(B1035="","",IFERROR(INDEX(Configurações!$B$7:$B$30,MATCH(B1035,Configurações!$A$7:$A$30,0)),"?"))</f>
        <v/>
      </c>
      <c r="G1035" s="25" t="str">
        <f aca="false">IF(A1035="","",A1035-WEEKDAY(A1035,2)+1)</f>
        <v/>
      </c>
      <c r="H1035" s="26" t="str">
        <f aca="false">IF(A1035="","",DATE(YEAR(A1035),MONTH(A1035),1))</f>
        <v/>
      </c>
    </row>
    <row r="1036" customFormat="false" ht="15" hidden="false" customHeight="false" outlineLevel="0" collapsed="false">
      <c r="A1036" s="22"/>
      <c r="B1036" s="23"/>
      <c r="C1036" s="23"/>
      <c r="D1036" s="24"/>
      <c r="E1036" s="23"/>
      <c r="F1036" s="15" t="str">
        <f aca="false">IF(B1036="","",IFERROR(INDEX(Configurações!$B$7:$B$30,MATCH(B1036,Configurações!$A$7:$A$30,0)),"?"))</f>
        <v/>
      </c>
      <c r="G1036" s="25" t="str">
        <f aca="false">IF(A1036="","",A1036-WEEKDAY(A1036,2)+1)</f>
        <v/>
      </c>
      <c r="H1036" s="26" t="str">
        <f aca="false">IF(A1036="","",DATE(YEAR(A1036),MONTH(A1036),1))</f>
        <v/>
      </c>
    </row>
    <row r="1037" customFormat="false" ht="15" hidden="false" customHeight="false" outlineLevel="0" collapsed="false">
      <c r="A1037" s="22"/>
      <c r="B1037" s="23"/>
      <c r="C1037" s="23"/>
      <c r="D1037" s="24"/>
      <c r="E1037" s="23"/>
      <c r="F1037" s="15" t="str">
        <f aca="false">IF(B1037="","",IFERROR(INDEX(Configurações!$B$7:$B$30,MATCH(B1037,Configurações!$A$7:$A$30,0)),"?"))</f>
        <v/>
      </c>
      <c r="G1037" s="25" t="str">
        <f aca="false">IF(A1037="","",A1037-WEEKDAY(A1037,2)+1)</f>
        <v/>
      </c>
      <c r="H1037" s="26" t="str">
        <f aca="false">IF(A1037="","",DATE(YEAR(A1037),MONTH(A1037),1))</f>
        <v/>
      </c>
    </row>
    <row r="1038" customFormat="false" ht="15" hidden="false" customHeight="false" outlineLevel="0" collapsed="false">
      <c r="A1038" s="22"/>
      <c r="B1038" s="23"/>
      <c r="C1038" s="23"/>
      <c r="D1038" s="24"/>
      <c r="E1038" s="23"/>
      <c r="F1038" s="15" t="str">
        <f aca="false">IF(B1038="","",IFERROR(INDEX(Configurações!$B$7:$B$30,MATCH(B1038,Configurações!$A$7:$A$30,0)),"?"))</f>
        <v/>
      </c>
      <c r="G1038" s="25" t="str">
        <f aca="false">IF(A1038="","",A1038-WEEKDAY(A1038,2)+1)</f>
        <v/>
      </c>
      <c r="H1038" s="26" t="str">
        <f aca="false">IF(A1038="","",DATE(YEAR(A1038),MONTH(A1038),1))</f>
        <v/>
      </c>
    </row>
    <row r="1039" customFormat="false" ht="15" hidden="false" customHeight="false" outlineLevel="0" collapsed="false">
      <c r="A1039" s="22"/>
      <c r="B1039" s="23"/>
      <c r="C1039" s="23"/>
      <c r="D1039" s="24"/>
      <c r="E1039" s="23"/>
      <c r="F1039" s="15" t="str">
        <f aca="false">IF(B1039="","",IFERROR(INDEX(Configurações!$B$7:$B$30,MATCH(B1039,Configurações!$A$7:$A$30,0)),"?"))</f>
        <v/>
      </c>
      <c r="G1039" s="25" t="str">
        <f aca="false">IF(A1039="","",A1039-WEEKDAY(A1039,2)+1)</f>
        <v/>
      </c>
      <c r="H1039" s="26" t="str">
        <f aca="false">IF(A1039="","",DATE(YEAR(A1039),MONTH(A1039),1))</f>
        <v/>
      </c>
    </row>
    <row r="1040" customFormat="false" ht="15" hidden="false" customHeight="false" outlineLevel="0" collapsed="false">
      <c r="A1040" s="22"/>
      <c r="B1040" s="23"/>
      <c r="C1040" s="23"/>
      <c r="D1040" s="24"/>
      <c r="E1040" s="23"/>
      <c r="F1040" s="15" t="str">
        <f aca="false">IF(B1040="","",IFERROR(INDEX(Configurações!$B$7:$B$30,MATCH(B1040,Configurações!$A$7:$A$30,0)),"?"))</f>
        <v/>
      </c>
      <c r="G1040" s="25" t="str">
        <f aca="false">IF(A1040="","",A1040-WEEKDAY(A1040,2)+1)</f>
        <v/>
      </c>
      <c r="H1040" s="26" t="str">
        <f aca="false">IF(A1040="","",DATE(YEAR(A1040),MONTH(A1040),1))</f>
        <v/>
      </c>
    </row>
    <row r="1041" customFormat="false" ht="15" hidden="false" customHeight="false" outlineLevel="0" collapsed="false">
      <c r="A1041" s="22"/>
      <c r="B1041" s="23"/>
      <c r="C1041" s="23"/>
      <c r="D1041" s="24"/>
      <c r="E1041" s="23"/>
      <c r="F1041" s="15" t="str">
        <f aca="false">IF(B1041="","",IFERROR(INDEX(Configurações!$B$7:$B$30,MATCH(B1041,Configurações!$A$7:$A$30,0)),"?"))</f>
        <v/>
      </c>
      <c r="G1041" s="25" t="str">
        <f aca="false">IF(A1041="","",A1041-WEEKDAY(A1041,2)+1)</f>
        <v/>
      </c>
      <c r="H1041" s="26" t="str">
        <f aca="false">IF(A1041="","",DATE(YEAR(A1041),MONTH(A1041),1))</f>
        <v/>
      </c>
    </row>
    <row r="1042" customFormat="false" ht="15" hidden="false" customHeight="false" outlineLevel="0" collapsed="false">
      <c r="A1042" s="22"/>
      <c r="B1042" s="23"/>
      <c r="C1042" s="23"/>
      <c r="D1042" s="24"/>
      <c r="E1042" s="23"/>
      <c r="F1042" s="15" t="str">
        <f aca="false">IF(B1042="","",IFERROR(INDEX(Configurações!$B$7:$B$30,MATCH(B1042,Configurações!$A$7:$A$30,0)),"?"))</f>
        <v/>
      </c>
      <c r="G1042" s="25" t="str">
        <f aca="false">IF(A1042="","",A1042-WEEKDAY(A1042,2)+1)</f>
        <v/>
      </c>
      <c r="H1042" s="26" t="str">
        <f aca="false">IF(A1042="","",DATE(YEAR(A1042),MONTH(A1042),1))</f>
        <v/>
      </c>
    </row>
    <row r="1043" customFormat="false" ht="15" hidden="false" customHeight="false" outlineLevel="0" collapsed="false">
      <c r="A1043" s="22"/>
      <c r="B1043" s="23"/>
      <c r="C1043" s="23"/>
      <c r="D1043" s="24"/>
      <c r="E1043" s="23"/>
      <c r="F1043" s="15" t="str">
        <f aca="false">IF(B1043="","",IFERROR(INDEX(Configurações!$B$7:$B$30,MATCH(B1043,Configurações!$A$7:$A$30,0)),"?"))</f>
        <v/>
      </c>
      <c r="G1043" s="25" t="str">
        <f aca="false">IF(A1043="","",A1043-WEEKDAY(A1043,2)+1)</f>
        <v/>
      </c>
      <c r="H1043" s="26" t="str">
        <f aca="false">IF(A1043="","",DATE(YEAR(A1043),MONTH(A1043),1))</f>
        <v/>
      </c>
    </row>
    <row r="1044" customFormat="false" ht="15" hidden="false" customHeight="false" outlineLevel="0" collapsed="false">
      <c r="A1044" s="22"/>
      <c r="B1044" s="23"/>
      <c r="C1044" s="23"/>
      <c r="D1044" s="24"/>
      <c r="E1044" s="23"/>
      <c r="F1044" s="15" t="str">
        <f aca="false">IF(B1044="","",IFERROR(INDEX(Configurações!$B$7:$B$30,MATCH(B1044,Configurações!$A$7:$A$30,0)),"?"))</f>
        <v/>
      </c>
      <c r="G1044" s="25" t="str">
        <f aca="false">IF(A1044="","",A1044-WEEKDAY(A1044,2)+1)</f>
        <v/>
      </c>
      <c r="H1044" s="26" t="str">
        <f aca="false">IF(A1044="","",DATE(YEAR(A1044),MONTH(A1044),1))</f>
        <v/>
      </c>
    </row>
    <row r="1045" customFormat="false" ht="15" hidden="false" customHeight="false" outlineLevel="0" collapsed="false">
      <c r="A1045" s="22"/>
      <c r="B1045" s="23"/>
      <c r="C1045" s="23"/>
      <c r="D1045" s="24"/>
      <c r="E1045" s="23"/>
      <c r="F1045" s="15" t="str">
        <f aca="false">IF(B1045="","",IFERROR(INDEX(Configurações!$B$7:$B$30,MATCH(B1045,Configurações!$A$7:$A$30,0)),"?"))</f>
        <v/>
      </c>
      <c r="G1045" s="25" t="str">
        <f aca="false">IF(A1045="","",A1045-WEEKDAY(A1045,2)+1)</f>
        <v/>
      </c>
      <c r="H1045" s="26" t="str">
        <f aca="false">IF(A1045="","",DATE(YEAR(A1045),MONTH(A1045),1))</f>
        <v/>
      </c>
    </row>
    <row r="1046" customFormat="false" ht="15" hidden="false" customHeight="false" outlineLevel="0" collapsed="false">
      <c r="A1046" s="22"/>
      <c r="B1046" s="23"/>
      <c r="C1046" s="23"/>
      <c r="D1046" s="24"/>
      <c r="E1046" s="23"/>
      <c r="F1046" s="15" t="str">
        <f aca="false">IF(B1046="","",IFERROR(INDEX(Configurações!$B$7:$B$30,MATCH(B1046,Configurações!$A$7:$A$30,0)),"?"))</f>
        <v/>
      </c>
      <c r="G1046" s="25" t="str">
        <f aca="false">IF(A1046="","",A1046-WEEKDAY(A1046,2)+1)</f>
        <v/>
      </c>
      <c r="H1046" s="26" t="str">
        <f aca="false">IF(A1046="","",DATE(YEAR(A1046),MONTH(A1046),1))</f>
        <v/>
      </c>
    </row>
    <row r="1047" customFormat="false" ht="15" hidden="false" customHeight="false" outlineLevel="0" collapsed="false">
      <c r="A1047" s="22"/>
      <c r="B1047" s="23"/>
      <c r="C1047" s="23"/>
      <c r="D1047" s="24"/>
      <c r="E1047" s="23"/>
      <c r="F1047" s="15" t="str">
        <f aca="false">IF(B1047="","",IFERROR(INDEX(Configurações!$B$7:$B$30,MATCH(B1047,Configurações!$A$7:$A$30,0)),"?"))</f>
        <v/>
      </c>
      <c r="G1047" s="25" t="str">
        <f aca="false">IF(A1047="","",A1047-WEEKDAY(A1047,2)+1)</f>
        <v/>
      </c>
      <c r="H1047" s="26" t="str">
        <f aca="false">IF(A1047="","",DATE(YEAR(A1047),MONTH(A1047),1))</f>
        <v/>
      </c>
    </row>
    <row r="1048" customFormat="false" ht="15" hidden="false" customHeight="false" outlineLevel="0" collapsed="false">
      <c r="A1048" s="22"/>
      <c r="B1048" s="23"/>
      <c r="C1048" s="23"/>
      <c r="D1048" s="24"/>
      <c r="E1048" s="23"/>
      <c r="F1048" s="15" t="str">
        <f aca="false">IF(B1048="","",IFERROR(INDEX(Configurações!$B$7:$B$30,MATCH(B1048,Configurações!$A$7:$A$30,0)),"?"))</f>
        <v/>
      </c>
      <c r="G1048" s="25" t="str">
        <f aca="false">IF(A1048="","",A1048-WEEKDAY(A1048,2)+1)</f>
        <v/>
      </c>
      <c r="H1048" s="26" t="str">
        <f aca="false">IF(A1048="","",DATE(YEAR(A1048),MONTH(A1048),1))</f>
        <v/>
      </c>
    </row>
    <row r="1049" customFormat="false" ht="15" hidden="false" customHeight="false" outlineLevel="0" collapsed="false">
      <c r="A1049" s="22"/>
      <c r="B1049" s="23"/>
      <c r="C1049" s="23"/>
      <c r="D1049" s="24"/>
      <c r="E1049" s="23"/>
      <c r="F1049" s="15" t="str">
        <f aca="false">IF(B1049="","",IFERROR(INDEX(Configurações!$B$7:$B$30,MATCH(B1049,Configurações!$A$7:$A$30,0)),"?"))</f>
        <v/>
      </c>
      <c r="G1049" s="25" t="str">
        <f aca="false">IF(A1049="","",A1049-WEEKDAY(A1049,2)+1)</f>
        <v/>
      </c>
      <c r="H1049" s="26" t="str">
        <f aca="false">IF(A1049="","",DATE(YEAR(A1049),MONTH(A1049),1))</f>
        <v/>
      </c>
    </row>
    <row r="1050" customFormat="false" ht="15" hidden="false" customHeight="false" outlineLevel="0" collapsed="false">
      <c r="A1050" s="22"/>
      <c r="B1050" s="23"/>
      <c r="C1050" s="23"/>
      <c r="D1050" s="24"/>
      <c r="E1050" s="23"/>
      <c r="F1050" s="15" t="str">
        <f aca="false">IF(B1050="","",IFERROR(INDEX(Configurações!$B$7:$B$30,MATCH(B1050,Configurações!$A$7:$A$30,0)),"?"))</f>
        <v/>
      </c>
      <c r="G1050" s="25" t="str">
        <f aca="false">IF(A1050="","",A1050-WEEKDAY(A1050,2)+1)</f>
        <v/>
      </c>
      <c r="H1050" s="26" t="str">
        <f aca="false">IF(A1050="","",DATE(YEAR(A1050),MONTH(A1050),1))</f>
        <v/>
      </c>
    </row>
    <row r="1051" customFormat="false" ht="15" hidden="false" customHeight="false" outlineLevel="0" collapsed="false">
      <c r="A1051" s="22"/>
      <c r="B1051" s="23"/>
      <c r="C1051" s="23"/>
      <c r="D1051" s="24"/>
      <c r="E1051" s="23"/>
      <c r="F1051" s="15" t="str">
        <f aca="false">IF(B1051="","",IFERROR(INDEX(Configurações!$B$7:$B$30,MATCH(B1051,Configurações!$A$7:$A$30,0)),"?"))</f>
        <v/>
      </c>
      <c r="G1051" s="25" t="str">
        <f aca="false">IF(A1051="","",A1051-WEEKDAY(A1051,2)+1)</f>
        <v/>
      </c>
      <c r="H1051" s="26" t="str">
        <f aca="false">IF(A1051="","",DATE(YEAR(A1051),MONTH(A1051),1))</f>
        <v/>
      </c>
    </row>
    <row r="1052" customFormat="false" ht="15" hidden="false" customHeight="false" outlineLevel="0" collapsed="false">
      <c r="A1052" s="22"/>
      <c r="B1052" s="23"/>
      <c r="C1052" s="23"/>
      <c r="D1052" s="24"/>
      <c r="E1052" s="23"/>
      <c r="F1052" s="15" t="str">
        <f aca="false">IF(B1052="","",IFERROR(INDEX(Configurações!$B$7:$B$30,MATCH(B1052,Configurações!$A$7:$A$30,0)),"?"))</f>
        <v/>
      </c>
      <c r="G1052" s="25" t="str">
        <f aca="false">IF(A1052="","",A1052-WEEKDAY(A1052,2)+1)</f>
        <v/>
      </c>
      <c r="H1052" s="26" t="str">
        <f aca="false">IF(A1052="","",DATE(YEAR(A1052),MONTH(A1052),1))</f>
        <v/>
      </c>
    </row>
    <row r="1053" customFormat="false" ht="15" hidden="false" customHeight="false" outlineLevel="0" collapsed="false">
      <c r="A1053" s="22"/>
      <c r="B1053" s="23"/>
      <c r="C1053" s="23"/>
      <c r="D1053" s="24"/>
      <c r="E1053" s="23"/>
      <c r="F1053" s="15" t="str">
        <f aca="false">IF(B1053="","",IFERROR(INDEX(Configurações!$B$7:$B$30,MATCH(B1053,Configurações!$A$7:$A$30,0)),"?"))</f>
        <v/>
      </c>
      <c r="G1053" s="25" t="str">
        <f aca="false">IF(A1053="","",A1053-WEEKDAY(A1053,2)+1)</f>
        <v/>
      </c>
      <c r="H1053" s="26" t="str">
        <f aca="false">IF(A1053="","",DATE(YEAR(A1053),MONTH(A1053),1))</f>
        <v/>
      </c>
    </row>
    <row r="1054" customFormat="false" ht="15" hidden="false" customHeight="false" outlineLevel="0" collapsed="false">
      <c r="A1054" s="22"/>
      <c r="B1054" s="23"/>
      <c r="C1054" s="23"/>
      <c r="D1054" s="24"/>
      <c r="E1054" s="23"/>
      <c r="F1054" s="15" t="str">
        <f aca="false">IF(B1054="","",IFERROR(INDEX(Configurações!$B$7:$B$30,MATCH(B1054,Configurações!$A$7:$A$30,0)),"?"))</f>
        <v/>
      </c>
      <c r="G1054" s="25" t="str">
        <f aca="false">IF(A1054="","",A1054-WEEKDAY(A1054,2)+1)</f>
        <v/>
      </c>
      <c r="H1054" s="26" t="str">
        <f aca="false">IF(A1054="","",DATE(YEAR(A1054),MONTH(A1054),1))</f>
        <v/>
      </c>
    </row>
    <row r="1055" customFormat="false" ht="15" hidden="false" customHeight="false" outlineLevel="0" collapsed="false">
      <c r="A1055" s="22"/>
      <c r="B1055" s="23"/>
      <c r="C1055" s="23"/>
      <c r="D1055" s="24"/>
      <c r="E1055" s="23"/>
      <c r="F1055" s="15" t="str">
        <f aca="false">IF(B1055="","",IFERROR(INDEX(Configurações!$B$7:$B$30,MATCH(B1055,Configurações!$A$7:$A$30,0)),"?"))</f>
        <v/>
      </c>
      <c r="G1055" s="25" t="str">
        <f aca="false">IF(A1055="","",A1055-WEEKDAY(A1055,2)+1)</f>
        <v/>
      </c>
      <c r="H1055" s="26" t="str">
        <f aca="false">IF(A1055="","",DATE(YEAR(A1055),MONTH(A1055),1))</f>
        <v/>
      </c>
    </row>
    <row r="1056" customFormat="false" ht="15" hidden="false" customHeight="false" outlineLevel="0" collapsed="false">
      <c r="A1056" s="22"/>
      <c r="B1056" s="23"/>
      <c r="C1056" s="23"/>
      <c r="D1056" s="24"/>
      <c r="E1056" s="23"/>
      <c r="F1056" s="15" t="str">
        <f aca="false">IF(B1056="","",IFERROR(INDEX(Configurações!$B$7:$B$30,MATCH(B1056,Configurações!$A$7:$A$30,0)),"?"))</f>
        <v/>
      </c>
      <c r="G1056" s="25" t="str">
        <f aca="false">IF(A1056="","",A1056-WEEKDAY(A1056,2)+1)</f>
        <v/>
      </c>
      <c r="H1056" s="26" t="str">
        <f aca="false">IF(A1056="","",DATE(YEAR(A1056),MONTH(A1056),1))</f>
        <v/>
      </c>
    </row>
    <row r="1057" customFormat="false" ht="15" hidden="false" customHeight="false" outlineLevel="0" collapsed="false">
      <c r="A1057" s="22"/>
      <c r="B1057" s="23"/>
      <c r="C1057" s="23"/>
      <c r="D1057" s="24"/>
      <c r="E1057" s="23"/>
      <c r="F1057" s="15" t="str">
        <f aca="false">IF(B1057="","",IFERROR(INDEX(Configurações!$B$7:$B$30,MATCH(B1057,Configurações!$A$7:$A$30,0)),"?"))</f>
        <v/>
      </c>
      <c r="G1057" s="25" t="str">
        <f aca="false">IF(A1057="","",A1057-WEEKDAY(A1057,2)+1)</f>
        <v/>
      </c>
      <c r="H1057" s="26" t="str">
        <f aca="false">IF(A1057="","",DATE(YEAR(A1057),MONTH(A1057),1))</f>
        <v/>
      </c>
    </row>
    <row r="1058" customFormat="false" ht="15" hidden="false" customHeight="false" outlineLevel="0" collapsed="false">
      <c r="A1058" s="22"/>
      <c r="B1058" s="23"/>
      <c r="C1058" s="23"/>
      <c r="D1058" s="24"/>
      <c r="E1058" s="23"/>
      <c r="F1058" s="15" t="str">
        <f aca="false">IF(B1058="","",IFERROR(INDEX(Configurações!$B$7:$B$30,MATCH(B1058,Configurações!$A$7:$A$30,0)),"?"))</f>
        <v/>
      </c>
      <c r="G1058" s="25" t="str">
        <f aca="false">IF(A1058="","",A1058-WEEKDAY(A1058,2)+1)</f>
        <v/>
      </c>
      <c r="H1058" s="26" t="str">
        <f aca="false">IF(A1058="","",DATE(YEAR(A1058),MONTH(A1058),1))</f>
        <v/>
      </c>
    </row>
    <row r="1059" customFormat="false" ht="15" hidden="false" customHeight="false" outlineLevel="0" collapsed="false">
      <c r="A1059" s="22"/>
      <c r="B1059" s="23"/>
      <c r="C1059" s="23"/>
      <c r="D1059" s="24"/>
      <c r="E1059" s="23"/>
      <c r="F1059" s="15" t="str">
        <f aca="false">IF(B1059="","",IFERROR(INDEX(Configurações!$B$7:$B$30,MATCH(B1059,Configurações!$A$7:$A$30,0)),"?"))</f>
        <v/>
      </c>
      <c r="G1059" s="25" t="str">
        <f aca="false">IF(A1059="","",A1059-WEEKDAY(A1059,2)+1)</f>
        <v/>
      </c>
      <c r="H1059" s="26" t="str">
        <f aca="false">IF(A1059="","",DATE(YEAR(A1059),MONTH(A1059),1))</f>
        <v/>
      </c>
    </row>
    <row r="1060" customFormat="false" ht="15" hidden="false" customHeight="false" outlineLevel="0" collapsed="false">
      <c r="A1060" s="22"/>
      <c r="B1060" s="23"/>
      <c r="C1060" s="23"/>
      <c r="D1060" s="24"/>
      <c r="E1060" s="23"/>
      <c r="F1060" s="15" t="str">
        <f aca="false">IF(B1060="","",IFERROR(INDEX(Configurações!$B$7:$B$30,MATCH(B1060,Configurações!$A$7:$A$30,0)),"?"))</f>
        <v/>
      </c>
      <c r="G1060" s="25" t="str">
        <f aca="false">IF(A1060="","",A1060-WEEKDAY(A1060,2)+1)</f>
        <v/>
      </c>
      <c r="H1060" s="26" t="str">
        <f aca="false">IF(A1060="","",DATE(YEAR(A1060),MONTH(A1060),1))</f>
        <v/>
      </c>
    </row>
    <row r="1061" customFormat="false" ht="15" hidden="false" customHeight="false" outlineLevel="0" collapsed="false">
      <c r="A1061" s="22"/>
      <c r="B1061" s="23"/>
      <c r="C1061" s="23"/>
      <c r="D1061" s="24"/>
      <c r="E1061" s="23"/>
      <c r="F1061" s="15" t="str">
        <f aca="false">IF(B1061="","",IFERROR(INDEX(Configurações!$B$7:$B$30,MATCH(B1061,Configurações!$A$7:$A$30,0)),"?"))</f>
        <v/>
      </c>
      <c r="G1061" s="25" t="str">
        <f aca="false">IF(A1061="","",A1061-WEEKDAY(A1061,2)+1)</f>
        <v/>
      </c>
      <c r="H1061" s="26" t="str">
        <f aca="false">IF(A1061="","",DATE(YEAR(A1061),MONTH(A1061),1))</f>
        <v/>
      </c>
    </row>
    <row r="1062" customFormat="false" ht="15" hidden="false" customHeight="false" outlineLevel="0" collapsed="false">
      <c r="A1062" s="22"/>
      <c r="B1062" s="23"/>
      <c r="C1062" s="23"/>
      <c r="D1062" s="24"/>
      <c r="E1062" s="23"/>
      <c r="F1062" s="15" t="str">
        <f aca="false">IF(B1062="","",IFERROR(INDEX(Configurações!$B$7:$B$30,MATCH(B1062,Configurações!$A$7:$A$30,0)),"?"))</f>
        <v/>
      </c>
      <c r="G1062" s="25" t="str">
        <f aca="false">IF(A1062="","",A1062-WEEKDAY(A1062,2)+1)</f>
        <v/>
      </c>
      <c r="H1062" s="26" t="str">
        <f aca="false">IF(A1062="","",DATE(YEAR(A1062),MONTH(A1062),1))</f>
        <v/>
      </c>
    </row>
    <row r="1063" customFormat="false" ht="15" hidden="false" customHeight="false" outlineLevel="0" collapsed="false">
      <c r="A1063" s="22"/>
      <c r="B1063" s="23"/>
      <c r="C1063" s="23"/>
      <c r="D1063" s="24"/>
      <c r="E1063" s="23"/>
      <c r="F1063" s="15" t="str">
        <f aca="false">IF(B1063="","",IFERROR(INDEX(Configurações!$B$7:$B$30,MATCH(B1063,Configurações!$A$7:$A$30,0)),"?"))</f>
        <v/>
      </c>
      <c r="G1063" s="25" t="str">
        <f aca="false">IF(A1063="","",A1063-WEEKDAY(A1063,2)+1)</f>
        <v/>
      </c>
      <c r="H1063" s="26" t="str">
        <f aca="false">IF(A1063="","",DATE(YEAR(A1063),MONTH(A1063),1))</f>
        <v/>
      </c>
    </row>
    <row r="1064" customFormat="false" ht="15" hidden="false" customHeight="false" outlineLevel="0" collapsed="false">
      <c r="A1064" s="22"/>
      <c r="B1064" s="23"/>
      <c r="C1064" s="23"/>
      <c r="D1064" s="24"/>
      <c r="E1064" s="23"/>
      <c r="F1064" s="15" t="str">
        <f aca="false">IF(B1064="","",IFERROR(INDEX(Configurações!$B$7:$B$30,MATCH(B1064,Configurações!$A$7:$A$30,0)),"?"))</f>
        <v/>
      </c>
      <c r="G1064" s="25" t="str">
        <f aca="false">IF(A1064="","",A1064-WEEKDAY(A1064,2)+1)</f>
        <v/>
      </c>
      <c r="H1064" s="26" t="str">
        <f aca="false">IF(A1064="","",DATE(YEAR(A1064),MONTH(A1064),1))</f>
        <v/>
      </c>
    </row>
    <row r="1065" customFormat="false" ht="15" hidden="false" customHeight="false" outlineLevel="0" collapsed="false">
      <c r="A1065" s="22"/>
      <c r="B1065" s="23"/>
      <c r="C1065" s="23"/>
      <c r="D1065" s="24"/>
      <c r="E1065" s="23"/>
      <c r="F1065" s="15" t="str">
        <f aca="false">IF(B1065="","",IFERROR(INDEX(Configurações!$B$7:$B$30,MATCH(B1065,Configurações!$A$7:$A$30,0)),"?"))</f>
        <v/>
      </c>
      <c r="G1065" s="25" t="str">
        <f aca="false">IF(A1065="","",A1065-WEEKDAY(A1065,2)+1)</f>
        <v/>
      </c>
      <c r="H1065" s="26" t="str">
        <f aca="false">IF(A1065="","",DATE(YEAR(A1065),MONTH(A1065),1))</f>
        <v/>
      </c>
    </row>
    <row r="1066" customFormat="false" ht="15" hidden="false" customHeight="false" outlineLevel="0" collapsed="false">
      <c r="A1066" s="22"/>
      <c r="B1066" s="23"/>
      <c r="C1066" s="23"/>
      <c r="D1066" s="24"/>
      <c r="E1066" s="23"/>
      <c r="F1066" s="15" t="str">
        <f aca="false">IF(B1066="","",IFERROR(INDEX(Configurações!$B$7:$B$30,MATCH(B1066,Configurações!$A$7:$A$30,0)),"?"))</f>
        <v/>
      </c>
      <c r="G1066" s="25" t="str">
        <f aca="false">IF(A1066="","",A1066-WEEKDAY(A1066,2)+1)</f>
        <v/>
      </c>
      <c r="H1066" s="26" t="str">
        <f aca="false">IF(A1066="","",DATE(YEAR(A1066),MONTH(A1066),1))</f>
        <v/>
      </c>
    </row>
    <row r="1067" customFormat="false" ht="15" hidden="false" customHeight="false" outlineLevel="0" collapsed="false">
      <c r="A1067" s="22"/>
      <c r="B1067" s="23"/>
      <c r="C1067" s="23"/>
      <c r="D1067" s="24"/>
      <c r="E1067" s="23"/>
      <c r="F1067" s="15" t="str">
        <f aca="false">IF(B1067="","",IFERROR(INDEX(Configurações!$B$7:$B$30,MATCH(B1067,Configurações!$A$7:$A$30,0)),"?"))</f>
        <v/>
      </c>
      <c r="G1067" s="25" t="str">
        <f aca="false">IF(A1067="","",A1067-WEEKDAY(A1067,2)+1)</f>
        <v/>
      </c>
      <c r="H1067" s="26" t="str">
        <f aca="false">IF(A1067="","",DATE(YEAR(A1067),MONTH(A1067),1))</f>
        <v/>
      </c>
    </row>
    <row r="1068" customFormat="false" ht="15" hidden="false" customHeight="false" outlineLevel="0" collapsed="false">
      <c r="A1068" s="22"/>
      <c r="B1068" s="23"/>
      <c r="C1068" s="23"/>
      <c r="D1068" s="24"/>
      <c r="E1068" s="23"/>
      <c r="F1068" s="15" t="str">
        <f aca="false">IF(B1068="","",IFERROR(INDEX(Configurações!$B$7:$B$30,MATCH(B1068,Configurações!$A$7:$A$30,0)),"?"))</f>
        <v/>
      </c>
      <c r="G1068" s="25" t="str">
        <f aca="false">IF(A1068="","",A1068-WEEKDAY(A1068,2)+1)</f>
        <v/>
      </c>
      <c r="H1068" s="26" t="str">
        <f aca="false">IF(A1068="","",DATE(YEAR(A1068),MONTH(A1068),1))</f>
        <v/>
      </c>
    </row>
    <row r="1069" customFormat="false" ht="15" hidden="false" customHeight="false" outlineLevel="0" collapsed="false">
      <c r="A1069" s="22"/>
      <c r="B1069" s="23"/>
      <c r="C1069" s="23"/>
      <c r="D1069" s="24"/>
      <c r="E1069" s="23"/>
      <c r="F1069" s="15" t="str">
        <f aca="false">IF(B1069="","",IFERROR(INDEX(Configurações!$B$7:$B$30,MATCH(B1069,Configurações!$A$7:$A$30,0)),"?"))</f>
        <v/>
      </c>
      <c r="G1069" s="25" t="str">
        <f aca="false">IF(A1069="","",A1069-WEEKDAY(A1069,2)+1)</f>
        <v/>
      </c>
      <c r="H1069" s="26" t="str">
        <f aca="false">IF(A1069="","",DATE(YEAR(A1069),MONTH(A1069),1))</f>
        <v/>
      </c>
    </row>
    <row r="1070" customFormat="false" ht="15" hidden="false" customHeight="false" outlineLevel="0" collapsed="false">
      <c r="A1070" s="22"/>
      <c r="B1070" s="23"/>
      <c r="C1070" s="23"/>
      <c r="D1070" s="24"/>
      <c r="E1070" s="23"/>
      <c r="F1070" s="15" t="str">
        <f aca="false">IF(B1070="","",IFERROR(INDEX(Configurações!$B$7:$B$30,MATCH(B1070,Configurações!$A$7:$A$30,0)),"?"))</f>
        <v/>
      </c>
      <c r="G1070" s="25" t="str">
        <f aca="false">IF(A1070="","",A1070-WEEKDAY(A1070,2)+1)</f>
        <v/>
      </c>
      <c r="H1070" s="26" t="str">
        <f aca="false">IF(A1070="","",DATE(YEAR(A1070),MONTH(A1070),1))</f>
        <v/>
      </c>
    </row>
    <row r="1071" customFormat="false" ht="15" hidden="false" customHeight="false" outlineLevel="0" collapsed="false">
      <c r="A1071" s="22"/>
      <c r="B1071" s="23"/>
      <c r="C1071" s="23"/>
      <c r="D1071" s="24"/>
      <c r="E1071" s="23"/>
      <c r="F1071" s="15" t="str">
        <f aca="false">IF(B1071="","",IFERROR(INDEX(Configurações!$B$7:$B$30,MATCH(B1071,Configurações!$A$7:$A$30,0)),"?"))</f>
        <v/>
      </c>
      <c r="G1071" s="25" t="str">
        <f aca="false">IF(A1071="","",A1071-WEEKDAY(A1071,2)+1)</f>
        <v/>
      </c>
      <c r="H1071" s="26" t="str">
        <f aca="false">IF(A1071="","",DATE(YEAR(A1071),MONTH(A1071),1))</f>
        <v/>
      </c>
    </row>
    <row r="1072" customFormat="false" ht="15" hidden="false" customHeight="false" outlineLevel="0" collapsed="false">
      <c r="A1072" s="22"/>
      <c r="B1072" s="23"/>
      <c r="C1072" s="23"/>
      <c r="D1072" s="24"/>
      <c r="E1072" s="23"/>
      <c r="F1072" s="15" t="str">
        <f aca="false">IF(B1072="","",IFERROR(INDEX(Configurações!$B$7:$B$30,MATCH(B1072,Configurações!$A$7:$A$30,0)),"?"))</f>
        <v/>
      </c>
      <c r="G1072" s="25" t="str">
        <f aca="false">IF(A1072="","",A1072-WEEKDAY(A1072,2)+1)</f>
        <v/>
      </c>
      <c r="H1072" s="26" t="str">
        <f aca="false">IF(A1072="","",DATE(YEAR(A1072),MONTH(A1072),1))</f>
        <v/>
      </c>
    </row>
    <row r="1073" customFormat="false" ht="15" hidden="false" customHeight="false" outlineLevel="0" collapsed="false">
      <c r="A1073" s="22"/>
      <c r="B1073" s="23"/>
      <c r="C1073" s="23"/>
      <c r="D1073" s="24"/>
      <c r="E1073" s="23"/>
      <c r="F1073" s="15" t="str">
        <f aca="false">IF(B1073="","",IFERROR(INDEX(Configurações!$B$7:$B$30,MATCH(B1073,Configurações!$A$7:$A$30,0)),"?"))</f>
        <v/>
      </c>
      <c r="G1073" s="25" t="str">
        <f aca="false">IF(A1073="","",A1073-WEEKDAY(A1073,2)+1)</f>
        <v/>
      </c>
      <c r="H1073" s="26" t="str">
        <f aca="false">IF(A1073="","",DATE(YEAR(A1073),MONTH(A1073),1))</f>
        <v/>
      </c>
    </row>
    <row r="1074" customFormat="false" ht="15" hidden="false" customHeight="false" outlineLevel="0" collapsed="false">
      <c r="A1074" s="22"/>
      <c r="B1074" s="23"/>
      <c r="C1074" s="23"/>
      <c r="D1074" s="24"/>
      <c r="E1074" s="23"/>
      <c r="F1074" s="15" t="str">
        <f aca="false">IF(B1074="","",IFERROR(INDEX(Configurações!$B$7:$B$30,MATCH(B1074,Configurações!$A$7:$A$30,0)),"?"))</f>
        <v/>
      </c>
      <c r="G1074" s="25" t="str">
        <f aca="false">IF(A1074="","",A1074-WEEKDAY(A1074,2)+1)</f>
        <v/>
      </c>
      <c r="H1074" s="26" t="str">
        <f aca="false">IF(A1074="","",DATE(YEAR(A1074),MONTH(A1074),1))</f>
        <v/>
      </c>
    </row>
    <row r="1075" customFormat="false" ht="15" hidden="false" customHeight="false" outlineLevel="0" collapsed="false">
      <c r="A1075" s="22"/>
      <c r="B1075" s="23"/>
      <c r="C1075" s="23"/>
      <c r="D1075" s="24"/>
      <c r="E1075" s="23"/>
      <c r="F1075" s="15" t="str">
        <f aca="false">IF(B1075="","",IFERROR(INDEX(Configurações!$B$7:$B$30,MATCH(B1075,Configurações!$A$7:$A$30,0)),"?"))</f>
        <v/>
      </c>
      <c r="G1075" s="25" t="str">
        <f aca="false">IF(A1075="","",A1075-WEEKDAY(A1075,2)+1)</f>
        <v/>
      </c>
      <c r="H1075" s="26" t="str">
        <f aca="false">IF(A1075="","",DATE(YEAR(A1075),MONTH(A1075),1))</f>
        <v/>
      </c>
    </row>
    <row r="1076" customFormat="false" ht="15" hidden="false" customHeight="false" outlineLevel="0" collapsed="false">
      <c r="A1076" s="22"/>
      <c r="B1076" s="23"/>
      <c r="C1076" s="23"/>
      <c r="D1076" s="24"/>
      <c r="E1076" s="23"/>
      <c r="F1076" s="15" t="str">
        <f aca="false">IF(B1076="","",IFERROR(INDEX(Configurações!$B$7:$B$30,MATCH(B1076,Configurações!$A$7:$A$30,0)),"?"))</f>
        <v/>
      </c>
      <c r="G1076" s="25" t="str">
        <f aca="false">IF(A1076="","",A1076-WEEKDAY(A1076,2)+1)</f>
        <v/>
      </c>
      <c r="H1076" s="26" t="str">
        <f aca="false">IF(A1076="","",DATE(YEAR(A1076),MONTH(A1076),1))</f>
        <v/>
      </c>
    </row>
    <row r="1077" customFormat="false" ht="15" hidden="false" customHeight="false" outlineLevel="0" collapsed="false">
      <c r="A1077" s="22"/>
      <c r="B1077" s="23"/>
      <c r="C1077" s="23"/>
      <c r="D1077" s="24"/>
      <c r="E1077" s="23"/>
      <c r="F1077" s="15" t="str">
        <f aca="false">IF(B1077="","",IFERROR(INDEX(Configurações!$B$7:$B$30,MATCH(B1077,Configurações!$A$7:$A$30,0)),"?"))</f>
        <v/>
      </c>
      <c r="G1077" s="25" t="str">
        <f aca="false">IF(A1077="","",A1077-WEEKDAY(A1077,2)+1)</f>
        <v/>
      </c>
      <c r="H1077" s="26" t="str">
        <f aca="false">IF(A1077="","",DATE(YEAR(A1077),MONTH(A1077),1))</f>
        <v/>
      </c>
    </row>
    <row r="1078" customFormat="false" ht="15" hidden="false" customHeight="false" outlineLevel="0" collapsed="false">
      <c r="A1078" s="22"/>
      <c r="B1078" s="23"/>
      <c r="C1078" s="23"/>
      <c r="D1078" s="24"/>
      <c r="E1078" s="23"/>
      <c r="F1078" s="15" t="str">
        <f aca="false">IF(B1078="","",IFERROR(INDEX(Configurações!$B$7:$B$30,MATCH(B1078,Configurações!$A$7:$A$30,0)),"?"))</f>
        <v/>
      </c>
      <c r="G1078" s="25" t="str">
        <f aca="false">IF(A1078="","",A1078-WEEKDAY(A1078,2)+1)</f>
        <v/>
      </c>
      <c r="H1078" s="26" t="str">
        <f aca="false">IF(A1078="","",DATE(YEAR(A1078),MONTH(A1078),1))</f>
        <v/>
      </c>
    </row>
    <row r="1079" customFormat="false" ht="15" hidden="false" customHeight="false" outlineLevel="0" collapsed="false">
      <c r="A1079" s="22"/>
      <c r="B1079" s="23"/>
      <c r="C1079" s="23"/>
      <c r="D1079" s="24"/>
      <c r="E1079" s="23"/>
      <c r="F1079" s="15" t="str">
        <f aca="false">IF(B1079="","",IFERROR(INDEX(Configurações!$B$7:$B$30,MATCH(B1079,Configurações!$A$7:$A$30,0)),"?"))</f>
        <v/>
      </c>
      <c r="G1079" s="25" t="str">
        <f aca="false">IF(A1079="","",A1079-WEEKDAY(A1079,2)+1)</f>
        <v/>
      </c>
      <c r="H1079" s="26" t="str">
        <f aca="false">IF(A1079="","",DATE(YEAR(A1079),MONTH(A1079),1))</f>
        <v/>
      </c>
    </row>
    <row r="1080" customFormat="false" ht="15" hidden="false" customHeight="false" outlineLevel="0" collapsed="false">
      <c r="A1080" s="22"/>
      <c r="B1080" s="23"/>
      <c r="C1080" s="23"/>
      <c r="D1080" s="24"/>
      <c r="E1080" s="23"/>
      <c r="F1080" s="15" t="str">
        <f aca="false">IF(B1080="","",IFERROR(INDEX(Configurações!$B$7:$B$30,MATCH(B1080,Configurações!$A$7:$A$30,0)),"?"))</f>
        <v/>
      </c>
      <c r="G1080" s="25" t="str">
        <f aca="false">IF(A1080="","",A1080-WEEKDAY(A1080,2)+1)</f>
        <v/>
      </c>
      <c r="H1080" s="26" t="str">
        <f aca="false">IF(A1080="","",DATE(YEAR(A1080),MONTH(A1080),1))</f>
        <v/>
      </c>
    </row>
    <row r="1081" customFormat="false" ht="15" hidden="false" customHeight="false" outlineLevel="0" collapsed="false">
      <c r="A1081" s="22"/>
      <c r="B1081" s="23"/>
      <c r="C1081" s="23"/>
      <c r="D1081" s="24"/>
      <c r="E1081" s="23"/>
      <c r="F1081" s="15" t="str">
        <f aca="false">IF(B1081="","",IFERROR(INDEX(Configurações!$B$7:$B$30,MATCH(B1081,Configurações!$A$7:$A$30,0)),"?"))</f>
        <v/>
      </c>
      <c r="G1081" s="25" t="str">
        <f aca="false">IF(A1081="","",A1081-WEEKDAY(A1081,2)+1)</f>
        <v/>
      </c>
      <c r="H1081" s="26" t="str">
        <f aca="false">IF(A1081="","",DATE(YEAR(A1081),MONTH(A1081),1))</f>
        <v/>
      </c>
    </row>
    <row r="1082" customFormat="false" ht="15" hidden="false" customHeight="false" outlineLevel="0" collapsed="false">
      <c r="A1082" s="22"/>
      <c r="B1082" s="23"/>
      <c r="C1082" s="23"/>
      <c r="D1082" s="24"/>
      <c r="E1082" s="23"/>
      <c r="F1082" s="15" t="str">
        <f aca="false">IF(B1082="","",IFERROR(INDEX(Configurações!$B$7:$B$30,MATCH(B1082,Configurações!$A$7:$A$30,0)),"?"))</f>
        <v/>
      </c>
      <c r="G1082" s="25" t="str">
        <f aca="false">IF(A1082="","",A1082-WEEKDAY(A1082,2)+1)</f>
        <v/>
      </c>
      <c r="H1082" s="26" t="str">
        <f aca="false">IF(A1082="","",DATE(YEAR(A1082),MONTH(A1082),1))</f>
        <v/>
      </c>
    </row>
    <row r="1083" customFormat="false" ht="15" hidden="false" customHeight="false" outlineLevel="0" collapsed="false">
      <c r="A1083" s="22"/>
      <c r="B1083" s="23"/>
      <c r="C1083" s="23"/>
      <c r="D1083" s="24"/>
      <c r="E1083" s="23"/>
      <c r="F1083" s="15" t="str">
        <f aca="false">IF(B1083="","",IFERROR(INDEX(Configurações!$B$7:$B$30,MATCH(B1083,Configurações!$A$7:$A$30,0)),"?"))</f>
        <v/>
      </c>
      <c r="G1083" s="25" t="str">
        <f aca="false">IF(A1083="","",A1083-WEEKDAY(A1083,2)+1)</f>
        <v/>
      </c>
      <c r="H1083" s="26" t="str">
        <f aca="false">IF(A1083="","",DATE(YEAR(A1083),MONTH(A1083),1))</f>
        <v/>
      </c>
    </row>
    <row r="1084" customFormat="false" ht="15" hidden="false" customHeight="false" outlineLevel="0" collapsed="false">
      <c r="A1084" s="22"/>
      <c r="B1084" s="23"/>
      <c r="C1084" s="23"/>
      <c r="D1084" s="24"/>
      <c r="E1084" s="23"/>
      <c r="F1084" s="15" t="str">
        <f aca="false">IF(B1084="","",IFERROR(INDEX(Configurações!$B$7:$B$30,MATCH(B1084,Configurações!$A$7:$A$30,0)),"?"))</f>
        <v/>
      </c>
      <c r="G1084" s="25" t="str">
        <f aca="false">IF(A1084="","",A1084-WEEKDAY(A1084,2)+1)</f>
        <v/>
      </c>
      <c r="H1084" s="26" t="str">
        <f aca="false">IF(A1084="","",DATE(YEAR(A1084),MONTH(A1084),1))</f>
        <v/>
      </c>
    </row>
    <row r="1085" customFormat="false" ht="15" hidden="false" customHeight="false" outlineLevel="0" collapsed="false">
      <c r="A1085" s="22"/>
      <c r="B1085" s="23"/>
      <c r="C1085" s="23"/>
      <c r="D1085" s="24"/>
      <c r="E1085" s="23"/>
      <c r="F1085" s="15" t="str">
        <f aca="false">IF(B1085="","",IFERROR(INDEX(Configurações!$B$7:$B$30,MATCH(B1085,Configurações!$A$7:$A$30,0)),"?"))</f>
        <v/>
      </c>
      <c r="G1085" s="25" t="str">
        <f aca="false">IF(A1085="","",A1085-WEEKDAY(A1085,2)+1)</f>
        <v/>
      </c>
      <c r="H1085" s="26" t="str">
        <f aca="false">IF(A1085="","",DATE(YEAR(A1085),MONTH(A1085),1))</f>
        <v/>
      </c>
    </row>
    <row r="1086" customFormat="false" ht="15" hidden="false" customHeight="false" outlineLevel="0" collapsed="false">
      <c r="A1086" s="22"/>
      <c r="B1086" s="23"/>
      <c r="C1086" s="23"/>
      <c r="D1086" s="24"/>
      <c r="E1086" s="23"/>
      <c r="F1086" s="15" t="str">
        <f aca="false">IF(B1086="","",IFERROR(INDEX(Configurações!$B$7:$B$30,MATCH(B1086,Configurações!$A$7:$A$30,0)),"?"))</f>
        <v/>
      </c>
      <c r="G1086" s="25" t="str">
        <f aca="false">IF(A1086="","",A1086-WEEKDAY(A1086,2)+1)</f>
        <v/>
      </c>
      <c r="H1086" s="26" t="str">
        <f aca="false">IF(A1086="","",DATE(YEAR(A1086),MONTH(A1086),1))</f>
        <v/>
      </c>
    </row>
    <row r="1087" customFormat="false" ht="15" hidden="false" customHeight="false" outlineLevel="0" collapsed="false">
      <c r="A1087" s="22"/>
      <c r="B1087" s="23"/>
      <c r="C1087" s="23"/>
      <c r="D1087" s="24"/>
      <c r="E1087" s="23"/>
      <c r="F1087" s="15" t="str">
        <f aca="false">IF(B1087="","",IFERROR(INDEX(Configurações!$B$7:$B$30,MATCH(B1087,Configurações!$A$7:$A$30,0)),"?"))</f>
        <v/>
      </c>
      <c r="G1087" s="25" t="str">
        <f aca="false">IF(A1087="","",A1087-WEEKDAY(A1087,2)+1)</f>
        <v/>
      </c>
      <c r="H1087" s="26" t="str">
        <f aca="false">IF(A1087="","",DATE(YEAR(A1087),MONTH(A1087),1))</f>
        <v/>
      </c>
    </row>
    <row r="1088" customFormat="false" ht="15" hidden="false" customHeight="false" outlineLevel="0" collapsed="false">
      <c r="A1088" s="22"/>
      <c r="B1088" s="23"/>
      <c r="C1088" s="23"/>
      <c r="D1088" s="24"/>
      <c r="E1088" s="23"/>
      <c r="F1088" s="15" t="str">
        <f aca="false">IF(B1088="","",IFERROR(INDEX(Configurações!$B$7:$B$30,MATCH(B1088,Configurações!$A$7:$A$30,0)),"?"))</f>
        <v/>
      </c>
      <c r="G1088" s="25" t="str">
        <f aca="false">IF(A1088="","",A1088-WEEKDAY(A1088,2)+1)</f>
        <v/>
      </c>
      <c r="H1088" s="26" t="str">
        <f aca="false">IF(A1088="","",DATE(YEAR(A1088),MONTH(A1088),1))</f>
        <v/>
      </c>
    </row>
    <row r="1089" customFormat="false" ht="15" hidden="false" customHeight="false" outlineLevel="0" collapsed="false">
      <c r="A1089" s="22"/>
      <c r="B1089" s="23"/>
      <c r="C1089" s="23"/>
      <c r="D1089" s="24"/>
      <c r="E1089" s="23"/>
      <c r="F1089" s="15" t="str">
        <f aca="false">IF(B1089="","",IFERROR(INDEX(Configurações!$B$7:$B$30,MATCH(B1089,Configurações!$A$7:$A$30,0)),"?"))</f>
        <v/>
      </c>
      <c r="G1089" s="25" t="str">
        <f aca="false">IF(A1089="","",A1089-WEEKDAY(A1089,2)+1)</f>
        <v/>
      </c>
      <c r="H1089" s="26" t="str">
        <f aca="false">IF(A1089="","",DATE(YEAR(A1089),MONTH(A1089),1))</f>
        <v/>
      </c>
    </row>
    <row r="1090" customFormat="false" ht="15" hidden="false" customHeight="false" outlineLevel="0" collapsed="false">
      <c r="A1090" s="22"/>
      <c r="B1090" s="23"/>
      <c r="C1090" s="23"/>
      <c r="D1090" s="24"/>
      <c r="E1090" s="23"/>
      <c r="F1090" s="15" t="str">
        <f aca="false">IF(B1090="","",IFERROR(INDEX(Configurações!$B$7:$B$30,MATCH(B1090,Configurações!$A$7:$A$30,0)),"?"))</f>
        <v/>
      </c>
      <c r="G1090" s="25" t="str">
        <f aca="false">IF(A1090="","",A1090-WEEKDAY(A1090,2)+1)</f>
        <v/>
      </c>
      <c r="H1090" s="26" t="str">
        <f aca="false">IF(A1090="","",DATE(YEAR(A1090),MONTH(A1090),1))</f>
        <v/>
      </c>
    </row>
    <row r="1091" customFormat="false" ht="15" hidden="false" customHeight="false" outlineLevel="0" collapsed="false">
      <c r="A1091" s="22"/>
      <c r="B1091" s="23"/>
      <c r="C1091" s="23"/>
      <c r="D1091" s="24"/>
      <c r="E1091" s="23"/>
      <c r="F1091" s="15" t="str">
        <f aca="false">IF(B1091="","",IFERROR(INDEX(Configurações!$B$7:$B$30,MATCH(B1091,Configurações!$A$7:$A$30,0)),"?"))</f>
        <v/>
      </c>
      <c r="G1091" s="25" t="str">
        <f aca="false">IF(A1091="","",A1091-WEEKDAY(A1091,2)+1)</f>
        <v/>
      </c>
      <c r="H1091" s="26" t="str">
        <f aca="false">IF(A1091="","",DATE(YEAR(A1091),MONTH(A1091),1))</f>
        <v/>
      </c>
    </row>
    <row r="1092" customFormat="false" ht="15" hidden="false" customHeight="false" outlineLevel="0" collapsed="false">
      <c r="A1092" s="22"/>
      <c r="B1092" s="23"/>
      <c r="C1092" s="23"/>
      <c r="D1092" s="24"/>
      <c r="E1092" s="23"/>
      <c r="F1092" s="15" t="str">
        <f aca="false">IF(B1092="","",IFERROR(INDEX(Configurações!$B$7:$B$30,MATCH(B1092,Configurações!$A$7:$A$30,0)),"?"))</f>
        <v/>
      </c>
      <c r="G1092" s="25" t="str">
        <f aca="false">IF(A1092="","",A1092-WEEKDAY(A1092,2)+1)</f>
        <v/>
      </c>
      <c r="H1092" s="26" t="str">
        <f aca="false">IF(A1092="","",DATE(YEAR(A1092),MONTH(A1092),1))</f>
        <v/>
      </c>
    </row>
    <row r="1093" customFormat="false" ht="15" hidden="false" customHeight="false" outlineLevel="0" collapsed="false">
      <c r="A1093" s="22"/>
      <c r="B1093" s="23"/>
      <c r="C1093" s="23"/>
      <c r="D1093" s="24"/>
      <c r="E1093" s="23"/>
      <c r="F1093" s="15" t="str">
        <f aca="false">IF(B1093="","",IFERROR(INDEX(Configurações!$B$7:$B$30,MATCH(B1093,Configurações!$A$7:$A$30,0)),"?"))</f>
        <v/>
      </c>
      <c r="G1093" s="25" t="str">
        <f aca="false">IF(A1093="","",A1093-WEEKDAY(A1093,2)+1)</f>
        <v/>
      </c>
      <c r="H1093" s="26" t="str">
        <f aca="false">IF(A1093="","",DATE(YEAR(A1093),MONTH(A1093),1))</f>
        <v/>
      </c>
    </row>
    <row r="1094" customFormat="false" ht="15" hidden="false" customHeight="false" outlineLevel="0" collapsed="false">
      <c r="A1094" s="22"/>
      <c r="B1094" s="23"/>
      <c r="C1094" s="23"/>
      <c r="D1094" s="24"/>
      <c r="E1094" s="23"/>
      <c r="F1094" s="15" t="str">
        <f aca="false">IF(B1094="","",IFERROR(INDEX(Configurações!$B$7:$B$30,MATCH(B1094,Configurações!$A$7:$A$30,0)),"?"))</f>
        <v/>
      </c>
      <c r="G1094" s="25" t="str">
        <f aca="false">IF(A1094="","",A1094-WEEKDAY(A1094,2)+1)</f>
        <v/>
      </c>
      <c r="H1094" s="26" t="str">
        <f aca="false">IF(A1094="","",DATE(YEAR(A1094),MONTH(A1094),1))</f>
        <v/>
      </c>
    </row>
    <row r="1095" customFormat="false" ht="15" hidden="false" customHeight="false" outlineLevel="0" collapsed="false">
      <c r="A1095" s="22"/>
      <c r="B1095" s="23"/>
      <c r="C1095" s="23"/>
      <c r="D1095" s="24"/>
      <c r="E1095" s="23"/>
      <c r="F1095" s="15" t="str">
        <f aca="false">IF(B1095="","",IFERROR(INDEX(Configurações!$B$7:$B$30,MATCH(B1095,Configurações!$A$7:$A$30,0)),"?"))</f>
        <v/>
      </c>
      <c r="G1095" s="25" t="str">
        <f aca="false">IF(A1095="","",A1095-WEEKDAY(A1095,2)+1)</f>
        <v/>
      </c>
      <c r="H1095" s="26" t="str">
        <f aca="false">IF(A1095="","",DATE(YEAR(A1095),MONTH(A1095),1))</f>
        <v/>
      </c>
    </row>
    <row r="1096" customFormat="false" ht="15" hidden="false" customHeight="false" outlineLevel="0" collapsed="false">
      <c r="A1096" s="22"/>
      <c r="B1096" s="23"/>
      <c r="C1096" s="23"/>
      <c r="D1096" s="24"/>
      <c r="E1096" s="23"/>
      <c r="F1096" s="15" t="str">
        <f aca="false">IF(B1096="","",IFERROR(INDEX(Configurações!$B$7:$B$30,MATCH(B1096,Configurações!$A$7:$A$30,0)),"?"))</f>
        <v/>
      </c>
      <c r="G1096" s="25" t="str">
        <f aca="false">IF(A1096="","",A1096-WEEKDAY(A1096,2)+1)</f>
        <v/>
      </c>
      <c r="H1096" s="26" t="str">
        <f aca="false">IF(A1096="","",DATE(YEAR(A1096),MONTH(A1096),1))</f>
        <v/>
      </c>
    </row>
    <row r="1097" customFormat="false" ht="15" hidden="false" customHeight="false" outlineLevel="0" collapsed="false">
      <c r="A1097" s="22"/>
      <c r="B1097" s="23"/>
      <c r="C1097" s="23"/>
      <c r="D1097" s="24"/>
      <c r="E1097" s="23"/>
      <c r="F1097" s="15" t="str">
        <f aca="false">IF(B1097="","",IFERROR(INDEX(Configurações!$B$7:$B$30,MATCH(B1097,Configurações!$A$7:$A$30,0)),"?"))</f>
        <v/>
      </c>
      <c r="G1097" s="25" t="str">
        <f aca="false">IF(A1097="","",A1097-WEEKDAY(A1097,2)+1)</f>
        <v/>
      </c>
      <c r="H1097" s="26" t="str">
        <f aca="false">IF(A1097="","",DATE(YEAR(A1097),MONTH(A1097),1))</f>
        <v/>
      </c>
    </row>
    <row r="1098" customFormat="false" ht="15" hidden="false" customHeight="false" outlineLevel="0" collapsed="false">
      <c r="A1098" s="22"/>
      <c r="B1098" s="23"/>
      <c r="C1098" s="23"/>
      <c r="D1098" s="24"/>
      <c r="E1098" s="23"/>
      <c r="F1098" s="15" t="str">
        <f aca="false">IF(B1098="","",IFERROR(INDEX(Configurações!$B$7:$B$30,MATCH(B1098,Configurações!$A$7:$A$30,0)),"?"))</f>
        <v/>
      </c>
      <c r="G1098" s="25" t="str">
        <f aca="false">IF(A1098="","",A1098-WEEKDAY(A1098,2)+1)</f>
        <v/>
      </c>
      <c r="H1098" s="26" t="str">
        <f aca="false">IF(A1098="","",DATE(YEAR(A1098),MONTH(A1098),1))</f>
        <v/>
      </c>
    </row>
    <row r="1099" customFormat="false" ht="15" hidden="false" customHeight="false" outlineLevel="0" collapsed="false">
      <c r="A1099" s="22"/>
      <c r="B1099" s="23"/>
      <c r="C1099" s="23"/>
      <c r="D1099" s="24"/>
      <c r="E1099" s="23"/>
      <c r="F1099" s="15" t="str">
        <f aca="false">IF(B1099="","",IFERROR(INDEX(Configurações!$B$7:$B$30,MATCH(B1099,Configurações!$A$7:$A$30,0)),"?"))</f>
        <v/>
      </c>
      <c r="G1099" s="25" t="str">
        <f aca="false">IF(A1099="","",A1099-WEEKDAY(A1099,2)+1)</f>
        <v/>
      </c>
      <c r="H1099" s="26" t="str">
        <f aca="false">IF(A1099="","",DATE(YEAR(A1099),MONTH(A1099),1))</f>
        <v/>
      </c>
    </row>
    <row r="1100" customFormat="false" ht="15" hidden="false" customHeight="false" outlineLevel="0" collapsed="false">
      <c r="A1100" s="22"/>
      <c r="B1100" s="23"/>
      <c r="C1100" s="23"/>
      <c r="D1100" s="24"/>
      <c r="E1100" s="23"/>
      <c r="F1100" s="15" t="str">
        <f aca="false">IF(B1100="","",IFERROR(INDEX(Configurações!$B$7:$B$30,MATCH(B1100,Configurações!$A$7:$A$30,0)),"?"))</f>
        <v/>
      </c>
      <c r="G1100" s="25" t="str">
        <f aca="false">IF(A1100="","",A1100-WEEKDAY(A1100,2)+1)</f>
        <v/>
      </c>
      <c r="H1100" s="26" t="str">
        <f aca="false">IF(A1100="","",DATE(YEAR(A1100),MONTH(A1100),1))</f>
        <v/>
      </c>
    </row>
    <row r="1101" customFormat="false" ht="15" hidden="false" customHeight="false" outlineLevel="0" collapsed="false">
      <c r="A1101" s="22"/>
      <c r="B1101" s="23"/>
      <c r="C1101" s="23"/>
      <c r="D1101" s="24"/>
      <c r="E1101" s="23"/>
      <c r="F1101" s="15" t="str">
        <f aca="false">IF(B1101="","",IFERROR(INDEX(Configurações!$B$7:$B$30,MATCH(B1101,Configurações!$A$7:$A$30,0)),"?"))</f>
        <v/>
      </c>
      <c r="G1101" s="25" t="str">
        <f aca="false">IF(A1101="","",A1101-WEEKDAY(A1101,2)+1)</f>
        <v/>
      </c>
      <c r="H1101" s="26" t="str">
        <f aca="false">IF(A1101="","",DATE(YEAR(A1101),MONTH(A1101),1))</f>
        <v/>
      </c>
    </row>
    <row r="1102" customFormat="false" ht="15" hidden="false" customHeight="false" outlineLevel="0" collapsed="false">
      <c r="A1102" s="22"/>
      <c r="B1102" s="23"/>
      <c r="C1102" s="23"/>
      <c r="D1102" s="24"/>
      <c r="E1102" s="23"/>
      <c r="F1102" s="15" t="str">
        <f aca="false">IF(B1102="","",IFERROR(INDEX(Configurações!$B$7:$B$30,MATCH(B1102,Configurações!$A$7:$A$30,0)),"?"))</f>
        <v/>
      </c>
      <c r="G1102" s="25" t="str">
        <f aca="false">IF(A1102="","",A1102-WEEKDAY(A1102,2)+1)</f>
        <v/>
      </c>
      <c r="H1102" s="26" t="str">
        <f aca="false">IF(A1102="","",DATE(YEAR(A1102),MONTH(A1102),1))</f>
        <v/>
      </c>
    </row>
    <row r="1103" customFormat="false" ht="15" hidden="false" customHeight="false" outlineLevel="0" collapsed="false">
      <c r="A1103" s="22"/>
      <c r="B1103" s="23"/>
      <c r="C1103" s="23"/>
      <c r="D1103" s="24"/>
      <c r="E1103" s="23"/>
      <c r="F1103" s="15" t="str">
        <f aca="false">IF(B1103="","",IFERROR(INDEX(Configurações!$B$7:$B$30,MATCH(B1103,Configurações!$A$7:$A$30,0)),"?"))</f>
        <v/>
      </c>
      <c r="G1103" s="25" t="str">
        <f aca="false">IF(A1103="","",A1103-WEEKDAY(A1103,2)+1)</f>
        <v/>
      </c>
      <c r="H1103" s="26" t="str">
        <f aca="false">IF(A1103="","",DATE(YEAR(A1103),MONTH(A1103),1))</f>
        <v/>
      </c>
    </row>
    <row r="1104" customFormat="false" ht="15" hidden="false" customHeight="false" outlineLevel="0" collapsed="false">
      <c r="A1104" s="22"/>
      <c r="B1104" s="23"/>
      <c r="C1104" s="23"/>
      <c r="D1104" s="24"/>
      <c r="E1104" s="23"/>
      <c r="F1104" s="15" t="str">
        <f aca="false">IF(B1104="","",IFERROR(INDEX(Configurações!$B$7:$B$30,MATCH(B1104,Configurações!$A$7:$A$30,0)),"?"))</f>
        <v/>
      </c>
      <c r="G1104" s="25" t="str">
        <f aca="false">IF(A1104="","",A1104-WEEKDAY(A1104,2)+1)</f>
        <v/>
      </c>
      <c r="H1104" s="26" t="str">
        <f aca="false">IF(A1104="","",DATE(YEAR(A1104),MONTH(A1104),1))</f>
        <v/>
      </c>
    </row>
    <row r="1105" customFormat="false" ht="15" hidden="false" customHeight="false" outlineLevel="0" collapsed="false">
      <c r="A1105" s="22"/>
      <c r="B1105" s="23"/>
      <c r="C1105" s="23"/>
      <c r="D1105" s="24"/>
      <c r="E1105" s="23"/>
      <c r="F1105" s="15" t="str">
        <f aca="false">IF(B1105="","",IFERROR(INDEX(Configurações!$B$7:$B$30,MATCH(B1105,Configurações!$A$7:$A$30,0)),"?"))</f>
        <v/>
      </c>
      <c r="G1105" s="25" t="str">
        <f aca="false">IF(A1105="","",A1105-WEEKDAY(A1105,2)+1)</f>
        <v/>
      </c>
      <c r="H1105" s="26" t="str">
        <f aca="false">IF(A1105="","",DATE(YEAR(A1105),MONTH(A1105),1))</f>
        <v/>
      </c>
    </row>
    <row r="1106" customFormat="false" ht="15" hidden="false" customHeight="false" outlineLevel="0" collapsed="false">
      <c r="A1106" s="22"/>
      <c r="B1106" s="23"/>
      <c r="C1106" s="23"/>
      <c r="D1106" s="24"/>
      <c r="E1106" s="23"/>
      <c r="F1106" s="15" t="str">
        <f aca="false">IF(B1106="","",IFERROR(INDEX(Configurações!$B$7:$B$30,MATCH(B1106,Configurações!$A$7:$A$30,0)),"?"))</f>
        <v/>
      </c>
      <c r="G1106" s="25" t="str">
        <f aca="false">IF(A1106="","",A1106-WEEKDAY(A1106,2)+1)</f>
        <v/>
      </c>
      <c r="H1106" s="26" t="str">
        <f aca="false">IF(A1106="","",DATE(YEAR(A1106),MONTH(A1106),1))</f>
        <v/>
      </c>
    </row>
    <row r="1107" customFormat="false" ht="15" hidden="false" customHeight="false" outlineLevel="0" collapsed="false">
      <c r="A1107" s="22"/>
      <c r="B1107" s="23"/>
      <c r="C1107" s="23"/>
      <c r="D1107" s="24"/>
      <c r="E1107" s="23"/>
      <c r="F1107" s="15" t="str">
        <f aca="false">IF(B1107="","",IFERROR(INDEX(Configurações!$B$7:$B$30,MATCH(B1107,Configurações!$A$7:$A$30,0)),"?"))</f>
        <v/>
      </c>
      <c r="G1107" s="25" t="str">
        <f aca="false">IF(A1107="","",A1107-WEEKDAY(A1107,2)+1)</f>
        <v/>
      </c>
      <c r="H1107" s="26" t="str">
        <f aca="false">IF(A1107="","",DATE(YEAR(A1107),MONTH(A1107),1))</f>
        <v/>
      </c>
    </row>
    <row r="1108" customFormat="false" ht="15" hidden="false" customHeight="false" outlineLevel="0" collapsed="false">
      <c r="A1108" s="22"/>
      <c r="B1108" s="23"/>
      <c r="C1108" s="23"/>
      <c r="D1108" s="24"/>
      <c r="E1108" s="23"/>
      <c r="F1108" s="15" t="str">
        <f aca="false">IF(B1108="","",IFERROR(INDEX(Configurações!$B$7:$B$30,MATCH(B1108,Configurações!$A$7:$A$30,0)),"?"))</f>
        <v/>
      </c>
      <c r="G1108" s="25" t="str">
        <f aca="false">IF(A1108="","",A1108-WEEKDAY(A1108,2)+1)</f>
        <v/>
      </c>
      <c r="H1108" s="26" t="str">
        <f aca="false">IF(A1108="","",DATE(YEAR(A1108),MONTH(A1108),1))</f>
        <v/>
      </c>
    </row>
    <row r="1109" customFormat="false" ht="15" hidden="false" customHeight="false" outlineLevel="0" collapsed="false">
      <c r="A1109" s="22"/>
      <c r="B1109" s="23"/>
      <c r="C1109" s="23"/>
      <c r="D1109" s="24"/>
      <c r="E1109" s="23"/>
      <c r="F1109" s="15" t="str">
        <f aca="false">IF(B1109="","",IFERROR(INDEX(Configurações!$B$7:$B$30,MATCH(B1109,Configurações!$A$7:$A$30,0)),"?"))</f>
        <v/>
      </c>
      <c r="G1109" s="25" t="str">
        <f aca="false">IF(A1109="","",A1109-WEEKDAY(A1109,2)+1)</f>
        <v/>
      </c>
      <c r="H1109" s="26" t="str">
        <f aca="false">IF(A1109="","",DATE(YEAR(A1109),MONTH(A1109),1))</f>
        <v/>
      </c>
    </row>
    <row r="1110" customFormat="false" ht="15" hidden="false" customHeight="false" outlineLevel="0" collapsed="false">
      <c r="A1110" s="22"/>
      <c r="B1110" s="23"/>
      <c r="C1110" s="23"/>
      <c r="D1110" s="24"/>
      <c r="E1110" s="23"/>
      <c r="F1110" s="15" t="str">
        <f aca="false">IF(B1110="","",IFERROR(INDEX(Configurações!$B$7:$B$30,MATCH(B1110,Configurações!$A$7:$A$30,0)),"?"))</f>
        <v/>
      </c>
      <c r="G1110" s="25" t="str">
        <f aca="false">IF(A1110="","",A1110-WEEKDAY(A1110,2)+1)</f>
        <v/>
      </c>
      <c r="H1110" s="26" t="str">
        <f aca="false">IF(A1110="","",DATE(YEAR(A1110),MONTH(A1110),1))</f>
        <v/>
      </c>
    </row>
    <row r="1111" customFormat="false" ht="15" hidden="false" customHeight="false" outlineLevel="0" collapsed="false">
      <c r="A1111" s="22"/>
      <c r="B1111" s="23"/>
      <c r="C1111" s="23"/>
      <c r="D1111" s="24"/>
      <c r="E1111" s="23"/>
      <c r="F1111" s="15" t="str">
        <f aca="false">IF(B1111="","",IFERROR(INDEX(Configurações!$B$7:$B$30,MATCH(B1111,Configurações!$A$7:$A$30,0)),"?"))</f>
        <v/>
      </c>
      <c r="G1111" s="25" t="str">
        <f aca="false">IF(A1111="","",A1111-WEEKDAY(A1111,2)+1)</f>
        <v/>
      </c>
      <c r="H1111" s="26" t="str">
        <f aca="false">IF(A1111="","",DATE(YEAR(A1111),MONTH(A1111),1))</f>
        <v/>
      </c>
    </row>
    <row r="1112" customFormat="false" ht="15" hidden="false" customHeight="false" outlineLevel="0" collapsed="false">
      <c r="A1112" s="22"/>
      <c r="B1112" s="23"/>
      <c r="C1112" s="23"/>
      <c r="D1112" s="24"/>
      <c r="E1112" s="23"/>
      <c r="F1112" s="15" t="str">
        <f aca="false">IF(B1112="","",IFERROR(INDEX(Configurações!$B$7:$B$30,MATCH(B1112,Configurações!$A$7:$A$30,0)),"?"))</f>
        <v/>
      </c>
      <c r="G1112" s="25" t="str">
        <f aca="false">IF(A1112="","",A1112-WEEKDAY(A1112,2)+1)</f>
        <v/>
      </c>
      <c r="H1112" s="26" t="str">
        <f aca="false">IF(A1112="","",DATE(YEAR(A1112),MONTH(A1112),1))</f>
        <v/>
      </c>
    </row>
    <row r="1113" customFormat="false" ht="15" hidden="false" customHeight="false" outlineLevel="0" collapsed="false">
      <c r="A1113" s="22"/>
      <c r="B1113" s="23"/>
      <c r="C1113" s="23"/>
      <c r="D1113" s="24"/>
      <c r="E1113" s="23"/>
      <c r="F1113" s="15" t="str">
        <f aca="false">IF(B1113="","",IFERROR(INDEX(Configurações!$B$7:$B$30,MATCH(B1113,Configurações!$A$7:$A$30,0)),"?"))</f>
        <v/>
      </c>
      <c r="G1113" s="25" t="str">
        <f aca="false">IF(A1113="","",A1113-WEEKDAY(A1113,2)+1)</f>
        <v/>
      </c>
      <c r="H1113" s="26" t="str">
        <f aca="false">IF(A1113="","",DATE(YEAR(A1113),MONTH(A1113),1))</f>
        <v/>
      </c>
    </row>
    <row r="1114" customFormat="false" ht="15" hidden="false" customHeight="false" outlineLevel="0" collapsed="false">
      <c r="A1114" s="22"/>
      <c r="B1114" s="23"/>
      <c r="C1114" s="23"/>
      <c r="D1114" s="24"/>
      <c r="E1114" s="23"/>
      <c r="F1114" s="15" t="str">
        <f aca="false">IF(B1114="","",IFERROR(INDEX(Configurações!$B$7:$B$30,MATCH(B1114,Configurações!$A$7:$A$30,0)),"?"))</f>
        <v/>
      </c>
      <c r="G1114" s="25" t="str">
        <f aca="false">IF(A1114="","",A1114-WEEKDAY(A1114,2)+1)</f>
        <v/>
      </c>
      <c r="H1114" s="26" t="str">
        <f aca="false">IF(A1114="","",DATE(YEAR(A1114),MONTH(A1114),1))</f>
        <v/>
      </c>
    </row>
    <row r="1115" customFormat="false" ht="15" hidden="false" customHeight="false" outlineLevel="0" collapsed="false">
      <c r="A1115" s="22"/>
      <c r="B1115" s="23"/>
      <c r="C1115" s="23"/>
      <c r="D1115" s="24"/>
      <c r="E1115" s="23"/>
      <c r="F1115" s="15" t="str">
        <f aca="false">IF(B1115="","",IFERROR(INDEX(Configurações!$B$7:$B$30,MATCH(B1115,Configurações!$A$7:$A$30,0)),"?"))</f>
        <v/>
      </c>
      <c r="G1115" s="25" t="str">
        <f aca="false">IF(A1115="","",A1115-WEEKDAY(A1115,2)+1)</f>
        <v/>
      </c>
      <c r="H1115" s="26" t="str">
        <f aca="false">IF(A1115="","",DATE(YEAR(A1115),MONTH(A1115),1))</f>
        <v/>
      </c>
    </row>
    <row r="1116" customFormat="false" ht="15" hidden="false" customHeight="false" outlineLevel="0" collapsed="false">
      <c r="A1116" s="22"/>
      <c r="B1116" s="23"/>
      <c r="C1116" s="23"/>
      <c r="D1116" s="24"/>
      <c r="E1116" s="23"/>
      <c r="F1116" s="15" t="str">
        <f aca="false">IF(B1116="","",IFERROR(INDEX(Configurações!$B$7:$B$30,MATCH(B1116,Configurações!$A$7:$A$30,0)),"?"))</f>
        <v/>
      </c>
      <c r="G1116" s="25" t="str">
        <f aca="false">IF(A1116="","",A1116-WEEKDAY(A1116,2)+1)</f>
        <v/>
      </c>
      <c r="H1116" s="26" t="str">
        <f aca="false">IF(A1116="","",DATE(YEAR(A1116),MONTH(A1116),1))</f>
        <v/>
      </c>
    </row>
    <row r="1117" customFormat="false" ht="15" hidden="false" customHeight="false" outlineLevel="0" collapsed="false">
      <c r="A1117" s="22"/>
      <c r="B1117" s="23"/>
      <c r="C1117" s="23"/>
      <c r="D1117" s="24"/>
      <c r="E1117" s="23"/>
      <c r="F1117" s="15" t="str">
        <f aca="false">IF(B1117="","",IFERROR(INDEX(Configurações!$B$7:$B$30,MATCH(B1117,Configurações!$A$7:$A$30,0)),"?"))</f>
        <v/>
      </c>
      <c r="G1117" s="25" t="str">
        <f aca="false">IF(A1117="","",A1117-WEEKDAY(A1117,2)+1)</f>
        <v/>
      </c>
      <c r="H1117" s="26" t="str">
        <f aca="false">IF(A1117="","",DATE(YEAR(A1117),MONTH(A1117),1))</f>
        <v/>
      </c>
    </row>
    <row r="1118" customFormat="false" ht="15" hidden="false" customHeight="false" outlineLevel="0" collapsed="false">
      <c r="A1118" s="22"/>
      <c r="B1118" s="23"/>
      <c r="C1118" s="23"/>
      <c r="D1118" s="24"/>
      <c r="E1118" s="23"/>
      <c r="F1118" s="15" t="str">
        <f aca="false">IF(B1118="","",IFERROR(INDEX(Configurações!$B$7:$B$30,MATCH(B1118,Configurações!$A$7:$A$30,0)),"?"))</f>
        <v/>
      </c>
      <c r="G1118" s="25" t="str">
        <f aca="false">IF(A1118="","",A1118-WEEKDAY(A1118,2)+1)</f>
        <v/>
      </c>
      <c r="H1118" s="26" t="str">
        <f aca="false">IF(A1118="","",DATE(YEAR(A1118),MONTH(A1118),1))</f>
        <v/>
      </c>
    </row>
    <row r="1119" customFormat="false" ht="15" hidden="false" customHeight="false" outlineLevel="0" collapsed="false">
      <c r="A1119" s="22"/>
      <c r="B1119" s="23"/>
      <c r="C1119" s="23"/>
      <c r="D1119" s="24"/>
      <c r="E1119" s="23"/>
      <c r="F1119" s="15" t="str">
        <f aca="false">IF(B1119="","",IFERROR(INDEX(Configurações!$B$7:$B$30,MATCH(B1119,Configurações!$A$7:$A$30,0)),"?"))</f>
        <v/>
      </c>
      <c r="G1119" s="25" t="str">
        <f aca="false">IF(A1119="","",A1119-WEEKDAY(A1119,2)+1)</f>
        <v/>
      </c>
      <c r="H1119" s="26" t="str">
        <f aca="false">IF(A1119="","",DATE(YEAR(A1119),MONTH(A1119),1))</f>
        <v/>
      </c>
    </row>
    <row r="1120" customFormat="false" ht="15" hidden="false" customHeight="false" outlineLevel="0" collapsed="false">
      <c r="A1120" s="22"/>
      <c r="B1120" s="23"/>
      <c r="C1120" s="23"/>
      <c r="D1120" s="24"/>
      <c r="E1120" s="23"/>
      <c r="F1120" s="15" t="str">
        <f aca="false">IF(B1120="","",IFERROR(INDEX(Configurações!$B$7:$B$30,MATCH(B1120,Configurações!$A$7:$A$30,0)),"?"))</f>
        <v/>
      </c>
      <c r="G1120" s="25" t="str">
        <f aca="false">IF(A1120="","",A1120-WEEKDAY(A1120,2)+1)</f>
        <v/>
      </c>
      <c r="H1120" s="26" t="str">
        <f aca="false">IF(A1120="","",DATE(YEAR(A1120),MONTH(A1120),1))</f>
        <v/>
      </c>
    </row>
    <row r="1121" customFormat="false" ht="15" hidden="false" customHeight="false" outlineLevel="0" collapsed="false">
      <c r="A1121" s="22"/>
      <c r="B1121" s="23"/>
      <c r="C1121" s="23"/>
      <c r="D1121" s="24"/>
      <c r="E1121" s="23"/>
      <c r="F1121" s="15" t="str">
        <f aca="false">IF(B1121="","",IFERROR(INDEX(Configurações!$B$7:$B$30,MATCH(B1121,Configurações!$A$7:$A$30,0)),"?"))</f>
        <v/>
      </c>
      <c r="G1121" s="25" t="str">
        <f aca="false">IF(A1121="","",A1121-WEEKDAY(A1121,2)+1)</f>
        <v/>
      </c>
      <c r="H1121" s="26" t="str">
        <f aca="false">IF(A1121="","",DATE(YEAR(A1121),MONTH(A1121),1))</f>
        <v/>
      </c>
    </row>
    <row r="1122" customFormat="false" ht="15" hidden="false" customHeight="false" outlineLevel="0" collapsed="false">
      <c r="A1122" s="22"/>
      <c r="B1122" s="23"/>
      <c r="C1122" s="23"/>
      <c r="D1122" s="24"/>
      <c r="E1122" s="23"/>
      <c r="F1122" s="15" t="str">
        <f aca="false">IF(B1122="","",IFERROR(INDEX(Configurações!$B$7:$B$30,MATCH(B1122,Configurações!$A$7:$A$30,0)),"?"))</f>
        <v/>
      </c>
      <c r="G1122" s="25" t="str">
        <f aca="false">IF(A1122="","",A1122-WEEKDAY(A1122,2)+1)</f>
        <v/>
      </c>
      <c r="H1122" s="26" t="str">
        <f aca="false">IF(A1122="","",DATE(YEAR(A1122),MONTH(A1122),1))</f>
        <v/>
      </c>
    </row>
    <row r="1123" customFormat="false" ht="15" hidden="false" customHeight="false" outlineLevel="0" collapsed="false">
      <c r="A1123" s="22"/>
      <c r="B1123" s="23"/>
      <c r="C1123" s="23"/>
      <c r="D1123" s="24"/>
      <c r="E1123" s="23"/>
      <c r="F1123" s="15" t="str">
        <f aca="false">IF(B1123="","",IFERROR(INDEX(Configurações!$B$7:$B$30,MATCH(B1123,Configurações!$A$7:$A$30,0)),"?"))</f>
        <v/>
      </c>
      <c r="G1123" s="25" t="str">
        <f aca="false">IF(A1123="","",A1123-WEEKDAY(A1123,2)+1)</f>
        <v/>
      </c>
      <c r="H1123" s="26" t="str">
        <f aca="false">IF(A1123="","",DATE(YEAR(A1123),MONTH(A1123),1))</f>
        <v/>
      </c>
    </row>
    <row r="1124" customFormat="false" ht="15" hidden="false" customHeight="false" outlineLevel="0" collapsed="false">
      <c r="A1124" s="22"/>
      <c r="B1124" s="23"/>
      <c r="C1124" s="23"/>
      <c r="D1124" s="24"/>
      <c r="E1124" s="23"/>
      <c r="F1124" s="15" t="str">
        <f aca="false">IF(B1124="","",IFERROR(INDEX(Configurações!$B$7:$B$30,MATCH(B1124,Configurações!$A$7:$A$30,0)),"?"))</f>
        <v/>
      </c>
      <c r="G1124" s="25" t="str">
        <f aca="false">IF(A1124="","",A1124-WEEKDAY(A1124,2)+1)</f>
        <v/>
      </c>
      <c r="H1124" s="26" t="str">
        <f aca="false">IF(A1124="","",DATE(YEAR(A1124),MONTH(A1124),1))</f>
        <v/>
      </c>
    </row>
    <row r="1125" customFormat="false" ht="15" hidden="false" customHeight="false" outlineLevel="0" collapsed="false">
      <c r="A1125" s="22"/>
      <c r="B1125" s="23"/>
      <c r="C1125" s="23"/>
      <c r="D1125" s="24"/>
      <c r="E1125" s="23"/>
      <c r="F1125" s="15" t="str">
        <f aca="false">IF(B1125="","",IFERROR(INDEX(Configurações!$B$7:$B$30,MATCH(B1125,Configurações!$A$7:$A$30,0)),"?"))</f>
        <v/>
      </c>
      <c r="G1125" s="25" t="str">
        <f aca="false">IF(A1125="","",A1125-WEEKDAY(A1125,2)+1)</f>
        <v/>
      </c>
      <c r="H1125" s="26" t="str">
        <f aca="false">IF(A1125="","",DATE(YEAR(A1125),MONTH(A1125),1))</f>
        <v/>
      </c>
    </row>
    <row r="1126" customFormat="false" ht="15" hidden="false" customHeight="false" outlineLevel="0" collapsed="false">
      <c r="A1126" s="22"/>
      <c r="B1126" s="23"/>
      <c r="C1126" s="23"/>
      <c r="D1126" s="24"/>
      <c r="E1126" s="23"/>
      <c r="F1126" s="15" t="str">
        <f aca="false">IF(B1126="","",IFERROR(INDEX(Configurações!$B$7:$B$30,MATCH(B1126,Configurações!$A$7:$A$30,0)),"?"))</f>
        <v/>
      </c>
      <c r="G1126" s="25" t="str">
        <f aca="false">IF(A1126="","",A1126-WEEKDAY(A1126,2)+1)</f>
        <v/>
      </c>
      <c r="H1126" s="26" t="str">
        <f aca="false">IF(A1126="","",DATE(YEAR(A1126),MONTH(A1126),1))</f>
        <v/>
      </c>
    </row>
    <row r="1127" customFormat="false" ht="15" hidden="false" customHeight="false" outlineLevel="0" collapsed="false">
      <c r="A1127" s="22"/>
      <c r="B1127" s="23"/>
      <c r="C1127" s="23"/>
      <c r="D1127" s="24"/>
      <c r="E1127" s="23"/>
      <c r="F1127" s="15" t="str">
        <f aca="false">IF(B1127="","",IFERROR(INDEX(Configurações!$B$7:$B$30,MATCH(B1127,Configurações!$A$7:$A$30,0)),"?"))</f>
        <v/>
      </c>
      <c r="G1127" s="25" t="str">
        <f aca="false">IF(A1127="","",A1127-WEEKDAY(A1127,2)+1)</f>
        <v/>
      </c>
      <c r="H1127" s="26" t="str">
        <f aca="false">IF(A1127="","",DATE(YEAR(A1127),MONTH(A1127),1))</f>
        <v/>
      </c>
    </row>
    <row r="1128" customFormat="false" ht="15" hidden="false" customHeight="false" outlineLevel="0" collapsed="false">
      <c r="A1128" s="22"/>
      <c r="B1128" s="23"/>
      <c r="C1128" s="23"/>
      <c r="D1128" s="24"/>
      <c r="E1128" s="23"/>
      <c r="F1128" s="15" t="str">
        <f aca="false">IF(B1128="","",IFERROR(INDEX(Configurações!$B$7:$B$30,MATCH(B1128,Configurações!$A$7:$A$30,0)),"?"))</f>
        <v/>
      </c>
      <c r="G1128" s="25" t="str">
        <f aca="false">IF(A1128="","",A1128-WEEKDAY(A1128,2)+1)</f>
        <v/>
      </c>
      <c r="H1128" s="26" t="str">
        <f aca="false">IF(A1128="","",DATE(YEAR(A1128),MONTH(A1128),1))</f>
        <v/>
      </c>
    </row>
    <row r="1129" customFormat="false" ht="15" hidden="false" customHeight="false" outlineLevel="0" collapsed="false">
      <c r="A1129" s="22"/>
      <c r="B1129" s="23"/>
      <c r="C1129" s="23"/>
      <c r="D1129" s="24"/>
      <c r="E1129" s="23"/>
      <c r="F1129" s="15" t="str">
        <f aca="false">IF(B1129="","",IFERROR(INDEX(Configurações!$B$7:$B$30,MATCH(B1129,Configurações!$A$7:$A$30,0)),"?"))</f>
        <v/>
      </c>
      <c r="G1129" s="25" t="str">
        <f aca="false">IF(A1129="","",A1129-WEEKDAY(A1129,2)+1)</f>
        <v/>
      </c>
      <c r="H1129" s="26" t="str">
        <f aca="false">IF(A1129="","",DATE(YEAR(A1129),MONTH(A1129),1))</f>
        <v/>
      </c>
    </row>
    <row r="1130" customFormat="false" ht="15" hidden="false" customHeight="false" outlineLevel="0" collapsed="false">
      <c r="A1130" s="22"/>
      <c r="B1130" s="23"/>
      <c r="C1130" s="23"/>
      <c r="D1130" s="24"/>
      <c r="E1130" s="23"/>
      <c r="F1130" s="15" t="str">
        <f aca="false">IF(B1130="","",IFERROR(INDEX(Configurações!$B$7:$B$30,MATCH(B1130,Configurações!$A$7:$A$30,0)),"?"))</f>
        <v/>
      </c>
      <c r="G1130" s="25" t="str">
        <f aca="false">IF(A1130="","",A1130-WEEKDAY(A1130,2)+1)</f>
        <v/>
      </c>
      <c r="H1130" s="26" t="str">
        <f aca="false">IF(A1130="","",DATE(YEAR(A1130),MONTH(A1130),1))</f>
        <v/>
      </c>
    </row>
    <row r="1131" customFormat="false" ht="15" hidden="false" customHeight="false" outlineLevel="0" collapsed="false">
      <c r="A1131" s="22"/>
      <c r="B1131" s="23"/>
      <c r="C1131" s="23"/>
      <c r="D1131" s="24"/>
      <c r="E1131" s="23"/>
      <c r="F1131" s="15" t="str">
        <f aca="false">IF(B1131="","",IFERROR(INDEX(Configurações!$B$7:$B$30,MATCH(B1131,Configurações!$A$7:$A$30,0)),"?"))</f>
        <v/>
      </c>
      <c r="G1131" s="25" t="str">
        <f aca="false">IF(A1131="","",A1131-WEEKDAY(A1131,2)+1)</f>
        <v/>
      </c>
      <c r="H1131" s="26" t="str">
        <f aca="false">IF(A1131="","",DATE(YEAR(A1131),MONTH(A1131),1))</f>
        <v/>
      </c>
    </row>
    <row r="1132" customFormat="false" ht="15" hidden="false" customHeight="false" outlineLevel="0" collapsed="false">
      <c r="A1132" s="22"/>
      <c r="B1132" s="23"/>
      <c r="C1132" s="23"/>
      <c r="D1132" s="24"/>
      <c r="E1132" s="23"/>
      <c r="F1132" s="15" t="str">
        <f aca="false">IF(B1132="","",IFERROR(INDEX(Configurações!$B$7:$B$30,MATCH(B1132,Configurações!$A$7:$A$30,0)),"?"))</f>
        <v/>
      </c>
      <c r="G1132" s="25" t="str">
        <f aca="false">IF(A1132="","",A1132-WEEKDAY(A1132,2)+1)</f>
        <v/>
      </c>
      <c r="H1132" s="26" t="str">
        <f aca="false">IF(A1132="","",DATE(YEAR(A1132),MONTH(A1132),1))</f>
        <v/>
      </c>
    </row>
    <row r="1133" customFormat="false" ht="15" hidden="false" customHeight="false" outlineLevel="0" collapsed="false">
      <c r="A1133" s="22"/>
      <c r="B1133" s="23"/>
      <c r="C1133" s="23"/>
      <c r="D1133" s="24"/>
      <c r="E1133" s="23"/>
      <c r="F1133" s="15" t="str">
        <f aca="false">IF(B1133="","",IFERROR(INDEX(Configurações!$B$7:$B$30,MATCH(B1133,Configurações!$A$7:$A$30,0)),"?"))</f>
        <v/>
      </c>
      <c r="G1133" s="25" t="str">
        <f aca="false">IF(A1133="","",A1133-WEEKDAY(A1133,2)+1)</f>
        <v/>
      </c>
      <c r="H1133" s="26" t="str">
        <f aca="false">IF(A1133="","",DATE(YEAR(A1133),MONTH(A1133),1))</f>
        <v/>
      </c>
    </row>
    <row r="1134" customFormat="false" ht="15" hidden="false" customHeight="false" outlineLevel="0" collapsed="false">
      <c r="A1134" s="22"/>
      <c r="B1134" s="23"/>
      <c r="C1134" s="23"/>
      <c r="D1134" s="24"/>
      <c r="E1134" s="23"/>
      <c r="F1134" s="15" t="str">
        <f aca="false">IF(B1134="","",IFERROR(INDEX(Configurações!$B$7:$B$30,MATCH(B1134,Configurações!$A$7:$A$30,0)),"?"))</f>
        <v/>
      </c>
      <c r="G1134" s="25" t="str">
        <f aca="false">IF(A1134="","",A1134-WEEKDAY(A1134,2)+1)</f>
        <v/>
      </c>
      <c r="H1134" s="26" t="str">
        <f aca="false">IF(A1134="","",DATE(YEAR(A1134),MONTH(A1134),1))</f>
        <v/>
      </c>
    </row>
    <row r="1135" customFormat="false" ht="15" hidden="false" customHeight="false" outlineLevel="0" collapsed="false">
      <c r="A1135" s="22"/>
      <c r="B1135" s="23"/>
      <c r="C1135" s="23"/>
      <c r="D1135" s="24"/>
      <c r="E1135" s="23"/>
      <c r="F1135" s="15" t="str">
        <f aca="false">IF(B1135="","",IFERROR(INDEX(Configurações!$B$7:$B$30,MATCH(B1135,Configurações!$A$7:$A$30,0)),"?"))</f>
        <v/>
      </c>
      <c r="G1135" s="25" t="str">
        <f aca="false">IF(A1135="","",A1135-WEEKDAY(A1135,2)+1)</f>
        <v/>
      </c>
      <c r="H1135" s="26" t="str">
        <f aca="false">IF(A1135="","",DATE(YEAR(A1135),MONTH(A1135),1))</f>
        <v/>
      </c>
    </row>
    <row r="1136" customFormat="false" ht="15" hidden="false" customHeight="false" outlineLevel="0" collapsed="false">
      <c r="A1136" s="22"/>
      <c r="B1136" s="23"/>
      <c r="C1136" s="23"/>
      <c r="D1136" s="24"/>
      <c r="E1136" s="23"/>
      <c r="F1136" s="15" t="str">
        <f aca="false">IF(B1136="","",IFERROR(INDEX(Configurações!$B$7:$B$30,MATCH(B1136,Configurações!$A$7:$A$30,0)),"?"))</f>
        <v/>
      </c>
      <c r="G1136" s="25" t="str">
        <f aca="false">IF(A1136="","",A1136-WEEKDAY(A1136,2)+1)</f>
        <v/>
      </c>
      <c r="H1136" s="26" t="str">
        <f aca="false">IF(A1136="","",DATE(YEAR(A1136),MONTH(A1136),1))</f>
        <v/>
      </c>
    </row>
    <row r="1137" customFormat="false" ht="15" hidden="false" customHeight="false" outlineLevel="0" collapsed="false">
      <c r="A1137" s="22"/>
      <c r="B1137" s="23"/>
      <c r="C1137" s="23"/>
      <c r="D1137" s="24"/>
      <c r="E1137" s="23"/>
      <c r="F1137" s="15" t="str">
        <f aca="false">IF(B1137="","",IFERROR(INDEX(Configurações!$B$7:$B$30,MATCH(B1137,Configurações!$A$7:$A$30,0)),"?"))</f>
        <v/>
      </c>
      <c r="G1137" s="25" t="str">
        <f aca="false">IF(A1137="","",A1137-WEEKDAY(A1137,2)+1)</f>
        <v/>
      </c>
      <c r="H1137" s="26" t="str">
        <f aca="false">IF(A1137="","",DATE(YEAR(A1137),MONTH(A1137),1))</f>
        <v/>
      </c>
    </row>
    <row r="1138" customFormat="false" ht="15" hidden="false" customHeight="false" outlineLevel="0" collapsed="false">
      <c r="A1138" s="22"/>
      <c r="B1138" s="23"/>
      <c r="C1138" s="23"/>
      <c r="D1138" s="24"/>
      <c r="E1138" s="23"/>
      <c r="F1138" s="15" t="str">
        <f aca="false">IF(B1138="","",IFERROR(INDEX(Configurações!$B$7:$B$30,MATCH(B1138,Configurações!$A$7:$A$30,0)),"?"))</f>
        <v/>
      </c>
      <c r="G1138" s="25" t="str">
        <f aca="false">IF(A1138="","",A1138-WEEKDAY(A1138,2)+1)</f>
        <v/>
      </c>
      <c r="H1138" s="26" t="str">
        <f aca="false">IF(A1138="","",DATE(YEAR(A1138),MONTH(A1138),1))</f>
        <v/>
      </c>
    </row>
    <row r="1139" customFormat="false" ht="15" hidden="false" customHeight="false" outlineLevel="0" collapsed="false">
      <c r="A1139" s="22"/>
      <c r="B1139" s="23"/>
      <c r="C1139" s="23"/>
      <c r="D1139" s="24"/>
      <c r="E1139" s="23"/>
      <c r="F1139" s="15" t="str">
        <f aca="false">IF(B1139="","",IFERROR(INDEX(Configurações!$B$7:$B$30,MATCH(B1139,Configurações!$A$7:$A$30,0)),"?"))</f>
        <v/>
      </c>
      <c r="G1139" s="25" t="str">
        <f aca="false">IF(A1139="","",A1139-WEEKDAY(A1139,2)+1)</f>
        <v/>
      </c>
      <c r="H1139" s="26" t="str">
        <f aca="false">IF(A1139="","",DATE(YEAR(A1139),MONTH(A1139),1))</f>
        <v/>
      </c>
    </row>
    <row r="1140" customFormat="false" ht="15" hidden="false" customHeight="false" outlineLevel="0" collapsed="false">
      <c r="A1140" s="22"/>
      <c r="B1140" s="23"/>
      <c r="C1140" s="23"/>
      <c r="D1140" s="24"/>
      <c r="E1140" s="23"/>
      <c r="F1140" s="15" t="str">
        <f aca="false">IF(B1140="","",IFERROR(INDEX(Configurações!$B$7:$B$30,MATCH(B1140,Configurações!$A$7:$A$30,0)),"?"))</f>
        <v/>
      </c>
      <c r="G1140" s="25" t="str">
        <f aca="false">IF(A1140="","",A1140-WEEKDAY(A1140,2)+1)</f>
        <v/>
      </c>
      <c r="H1140" s="26" t="str">
        <f aca="false">IF(A1140="","",DATE(YEAR(A1140),MONTH(A1140),1))</f>
        <v/>
      </c>
    </row>
    <row r="1141" customFormat="false" ht="15" hidden="false" customHeight="false" outlineLevel="0" collapsed="false">
      <c r="A1141" s="22"/>
      <c r="B1141" s="23"/>
      <c r="C1141" s="23"/>
      <c r="D1141" s="24"/>
      <c r="E1141" s="23"/>
      <c r="F1141" s="15" t="str">
        <f aca="false">IF(B1141="","",IFERROR(INDEX(Configurações!$B$7:$B$30,MATCH(B1141,Configurações!$A$7:$A$30,0)),"?"))</f>
        <v/>
      </c>
      <c r="G1141" s="25" t="str">
        <f aca="false">IF(A1141="","",A1141-WEEKDAY(A1141,2)+1)</f>
        <v/>
      </c>
      <c r="H1141" s="26" t="str">
        <f aca="false">IF(A1141="","",DATE(YEAR(A1141),MONTH(A1141),1))</f>
        <v/>
      </c>
    </row>
    <row r="1142" customFormat="false" ht="15" hidden="false" customHeight="false" outlineLevel="0" collapsed="false">
      <c r="A1142" s="22"/>
      <c r="B1142" s="23"/>
      <c r="C1142" s="23"/>
      <c r="D1142" s="24"/>
      <c r="E1142" s="23"/>
      <c r="F1142" s="15" t="str">
        <f aca="false">IF(B1142="","",IFERROR(INDEX(Configurações!$B$7:$B$30,MATCH(B1142,Configurações!$A$7:$A$30,0)),"?"))</f>
        <v/>
      </c>
      <c r="G1142" s="25" t="str">
        <f aca="false">IF(A1142="","",A1142-WEEKDAY(A1142,2)+1)</f>
        <v/>
      </c>
      <c r="H1142" s="26" t="str">
        <f aca="false">IF(A1142="","",DATE(YEAR(A1142),MONTH(A1142),1))</f>
        <v/>
      </c>
    </row>
    <row r="1143" customFormat="false" ht="15" hidden="false" customHeight="false" outlineLevel="0" collapsed="false">
      <c r="A1143" s="22"/>
      <c r="B1143" s="23"/>
      <c r="C1143" s="23"/>
      <c r="D1143" s="24"/>
      <c r="E1143" s="23"/>
      <c r="F1143" s="15" t="str">
        <f aca="false">IF(B1143="","",IFERROR(INDEX(Configurações!$B$7:$B$30,MATCH(B1143,Configurações!$A$7:$A$30,0)),"?"))</f>
        <v/>
      </c>
      <c r="G1143" s="25" t="str">
        <f aca="false">IF(A1143="","",A1143-WEEKDAY(A1143,2)+1)</f>
        <v/>
      </c>
      <c r="H1143" s="26" t="str">
        <f aca="false">IF(A1143="","",DATE(YEAR(A1143),MONTH(A1143),1))</f>
        <v/>
      </c>
    </row>
    <row r="1144" customFormat="false" ht="15" hidden="false" customHeight="false" outlineLevel="0" collapsed="false">
      <c r="A1144" s="22"/>
      <c r="B1144" s="23"/>
      <c r="C1144" s="23"/>
      <c r="D1144" s="24"/>
      <c r="E1144" s="23"/>
      <c r="F1144" s="15" t="str">
        <f aca="false">IF(B1144="","",IFERROR(INDEX(Configurações!$B$7:$B$30,MATCH(B1144,Configurações!$A$7:$A$30,0)),"?"))</f>
        <v/>
      </c>
      <c r="G1144" s="25" t="str">
        <f aca="false">IF(A1144="","",A1144-WEEKDAY(A1144,2)+1)</f>
        <v/>
      </c>
      <c r="H1144" s="26" t="str">
        <f aca="false">IF(A1144="","",DATE(YEAR(A1144),MONTH(A1144),1))</f>
        <v/>
      </c>
    </row>
    <row r="1145" customFormat="false" ht="15" hidden="false" customHeight="false" outlineLevel="0" collapsed="false">
      <c r="A1145" s="22"/>
      <c r="B1145" s="23"/>
      <c r="C1145" s="23"/>
      <c r="D1145" s="24"/>
      <c r="E1145" s="23"/>
      <c r="F1145" s="15" t="str">
        <f aca="false">IF(B1145="","",IFERROR(INDEX(Configurações!$B$7:$B$30,MATCH(B1145,Configurações!$A$7:$A$30,0)),"?"))</f>
        <v/>
      </c>
      <c r="G1145" s="25" t="str">
        <f aca="false">IF(A1145="","",A1145-WEEKDAY(A1145,2)+1)</f>
        <v/>
      </c>
      <c r="H1145" s="26" t="str">
        <f aca="false">IF(A1145="","",DATE(YEAR(A1145),MONTH(A1145),1))</f>
        <v/>
      </c>
    </row>
    <row r="1146" customFormat="false" ht="15" hidden="false" customHeight="false" outlineLevel="0" collapsed="false">
      <c r="A1146" s="22"/>
      <c r="B1146" s="23"/>
      <c r="C1146" s="23"/>
      <c r="D1146" s="24"/>
      <c r="E1146" s="23"/>
      <c r="F1146" s="15" t="str">
        <f aca="false">IF(B1146="","",IFERROR(INDEX(Configurações!$B$7:$B$30,MATCH(B1146,Configurações!$A$7:$A$30,0)),"?"))</f>
        <v/>
      </c>
      <c r="G1146" s="25" t="str">
        <f aca="false">IF(A1146="","",A1146-WEEKDAY(A1146,2)+1)</f>
        <v/>
      </c>
      <c r="H1146" s="26" t="str">
        <f aca="false">IF(A1146="","",DATE(YEAR(A1146),MONTH(A1146),1))</f>
        <v/>
      </c>
    </row>
    <row r="1147" customFormat="false" ht="15" hidden="false" customHeight="false" outlineLevel="0" collapsed="false">
      <c r="A1147" s="22"/>
      <c r="B1147" s="23"/>
      <c r="C1147" s="23"/>
      <c r="D1147" s="24"/>
      <c r="E1147" s="23"/>
      <c r="F1147" s="15" t="str">
        <f aca="false">IF(B1147="","",IFERROR(INDEX(Configurações!$B$7:$B$30,MATCH(B1147,Configurações!$A$7:$A$30,0)),"?"))</f>
        <v/>
      </c>
      <c r="G1147" s="25" t="str">
        <f aca="false">IF(A1147="","",A1147-WEEKDAY(A1147,2)+1)</f>
        <v/>
      </c>
      <c r="H1147" s="26" t="str">
        <f aca="false">IF(A1147="","",DATE(YEAR(A1147),MONTH(A1147),1))</f>
        <v/>
      </c>
    </row>
    <row r="1148" customFormat="false" ht="15" hidden="false" customHeight="false" outlineLevel="0" collapsed="false">
      <c r="A1148" s="22"/>
      <c r="B1148" s="23"/>
      <c r="C1148" s="23"/>
      <c r="D1148" s="24"/>
      <c r="E1148" s="23"/>
      <c r="F1148" s="15" t="str">
        <f aca="false">IF(B1148="","",IFERROR(INDEX(Configurações!$B$7:$B$30,MATCH(B1148,Configurações!$A$7:$A$30,0)),"?"))</f>
        <v/>
      </c>
      <c r="G1148" s="25" t="str">
        <f aca="false">IF(A1148="","",A1148-WEEKDAY(A1148,2)+1)</f>
        <v/>
      </c>
      <c r="H1148" s="26" t="str">
        <f aca="false">IF(A1148="","",DATE(YEAR(A1148),MONTH(A1148),1))</f>
        <v/>
      </c>
    </row>
    <row r="1149" customFormat="false" ht="15" hidden="false" customHeight="false" outlineLevel="0" collapsed="false">
      <c r="A1149" s="22"/>
      <c r="B1149" s="23"/>
      <c r="C1149" s="23"/>
      <c r="D1149" s="24"/>
      <c r="E1149" s="23"/>
      <c r="F1149" s="15" t="str">
        <f aca="false">IF(B1149="","",IFERROR(INDEX(Configurações!$B$7:$B$30,MATCH(B1149,Configurações!$A$7:$A$30,0)),"?"))</f>
        <v/>
      </c>
      <c r="G1149" s="25" t="str">
        <f aca="false">IF(A1149="","",A1149-WEEKDAY(A1149,2)+1)</f>
        <v/>
      </c>
      <c r="H1149" s="26" t="str">
        <f aca="false">IF(A1149="","",DATE(YEAR(A1149),MONTH(A1149),1))</f>
        <v/>
      </c>
    </row>
    <row r="1150" customFormat="false" ht="15" hidden="false" customHeight="false" outlineLevel="0" collapsed="false">
      <c r="A1150" s="22"/>
      <c r="B1150" s="23"/>
      <c r="C1150" s="23"/>
      <c r="D1150" s="24"/>
      <c r="E1150" s="23"/>
      <c r="F1150" s="15" t="str">
        <f aca="false">IF(B1150="","",IFERROR(INDEX(Configurações!$B$7:$B$30,MATCH(B1150,Configurações!$A$7:$A$30,0)),"?"))</f>
        <v/>
      </c>
      <c r="G1150" s="25" t="str">
        <f aca="false">IF(A1150="","",A1150-WEEKDAY(A1150,2)+1)</f>
        <v/>
      </c>
      <c r="H1150" s="26" t="str">
        <f aca="false">IF(A1150="","",DATE(YEAR(A1150),MONTH(A1150),1))</f>
        <v/>
      </c>
    </row>
    <row r="1151" customFormat="false" ht="15" hidden="false" customHeight="false" outlineLevel="0" collapsed="false">
      <c r="A1151" s="22"/>
      <c r="B1151" s="23"/>
      <c r="C1151" s="23"/>
      <c r="D1151" s="24"/>
      <c r="E1151" s="23"/>
      <c r="F1151" s="15" t="str">
        <f aca="false">IF(B1151="","",IFERROR(INDEX(Configurações!$B$7:$B$30,MATCH(B1151,Configurações!$A$7:$A$30,0)),"?"))</f>
        <v/>
      </c>
      <c r="G1151" s="25" t="str">
        <f aca="false">IF(A1151="","",A1151-WEEKDAY(A1151,2)+1)</f>
        <v/>
      </c>
      <c r="H1151" s="26" t="str">
        <f aca="false">IF(A1151="","",DATE(YEAR(A1151),MONTH(A1151),1))</f>
        <v/>
      </c>
    </row>
    <row r="1152" customFormat="false" ht="15" hidden="false" customHeight="false" outlineLevel="0" collapsed="false">
      <c r="A1152" s="22"/>
      <c r="B1152" s="23"/>
      <c r="C1152" s="23"/>
      <c r="D1152" s="24"/>
      <c r="E1152" s="23"/>
      <c r="F1152" s="15" t="str">
        <f aca="false">IF(B1152="","",IFERROR(INDEX(Configurações!$B$7:$B$30,MATCH(B1152,Configurações!$A$7:$A$30,0)),"?"))</f>
        <v/>
      </c>
      <c r="G1152" s="25" t="str">
        <f aca="false">IF(A1152="","",A1152-WEEKDAY(A1152,2)+1)</f>
        <v/>
      </c>
      <c r="H1152" s="26" t="str">
        <f aca="false">IF(A1152="","",DATE(YEAR(A1152),MONTH(A1152),1))</f>
        <v/>
      </c>
    </row>
    <row r="1153" customFormat="false" ht="15" hidden="false" customHeight="false" outlineLevel="0" collapsed="false">
      <c r="A1153" s="22"/>
      <c r="B1153" s="23"/>
      <c r="C1153" s="23"/>
      <c r="D1153" s="24"/>
      <c r="E1153" s="23"/>
      <c r="F1153" s="15" t="str">
        <f aca="false">IF(B1153="","",IFERROR(INDEX(Configurações!$B$7:$B$30,MATCH(B1153,Configurações!$A$7:$A$30,0)),"?"))</f>
        <v/>
      </c>
      <c r="G1153" s="25" t="str">
        <f aca="false">IF(A1153="","",A1153-WEEKDAY(A1153,2)+1)</f>
        <v/>
      </c>
      <c r="H1153" s="26" t="str">
        <f aca="false">IF(A1153="","",DATE(YEAR(A1153),MONTH(A1153),1))</f>
        <v/>
      </c>
    </row>
    <row r="1154" customFormat="false" ht="15" hidden="false" customHeight="false" outlineLevel="0" collapsed="false">
      <c r="A1154" s="22"/>
      <c r="B1154" s="23"/>
      <c r="C1154" s="23"/>
      <c r="D1154" s="24"/>
      <c r="E1154" s="23"/>
      <c r="F1154" s="15" t="str">
        <f aca="false">IF(B1154="","",IFERROR(INDEX(Configurações!$B$7:$B$30,MATCH(B1154,Configurações!$A$7:$A$30,0)),"?"))</f>
        <v/>
      </c>
      <c r="G1154" s="25" t="str">
        <f aca="false">IF(A1154="","",A1154-WEEKDAY(A1154,2)+1)</f>
        <v/>
      </c>
      <c r="H1154" s="26" t="str">
        <f aca="false">IF(A1154="","",DATE(YEAR(A1154),MONTH(A1154),1))</f>
        <v/>
      </c>
    </row>
    <row r="1155" customFormat="false" ht="15" hidden="false" customHeight="false" outlineLevel="0" collapsed="false">
      <c r="A1155" s="22"/>
      <c r="B1155" s="23"/>
      <c r="C1155" s="23"/>
      <c r="D1155" s="24"/>
      <c r="E1155" s="23"/>
      <c r="F1155" s="15" t="str">
        <f aca="false">IF(B1155="","",IFERROR(INDEX(Configurações!$B$7:$B$30,MATCH(B1155,Configurações!$A$7:$A$30,0)),"?"))</f>
        <v/>
      </c>
      <c r="G1155" s="25" t="str">
        <f aca="false">IF(A1155="","",A1155-WEEKDAY(A1155,2)+1)</f>
        <v/>
      </c>
      <c r="H1155" s="26" t="str">
        <f aca="false">IF(A1155="","",DATE(YEAR(A1155),MONTH(A1155),1))</f>
        <v/>
      </c>
    </row>
    <row r="1156" customFormat="false" ht="15" hidden="false" customHeight="false" outlineLevel="0" collapsed="false">
      <c r="A1156" s="22"/>
      <c r="B1156" s="23"/>
      <c r="C1156" s="23"/>
      <c r="D1156" s="24"/>
      <c r="E1156" s="23"/>
      <c r="F1156" s="15" t="str">
        <f aca="false">IF(B1156="","",IFERROR(INDEX(Configurações!$B$7:$B$30,MATCH(B1156,Configurações!$A$7:$A$30,0)),"?"))</f>
        <v/>
      </c>
      <c r="G1156" s="25" t="str">
        <f aca="false">IF(A1156="","",A1156-WEEKDAY(A1156,2)+1)</f>
        <v/>
      </c>
      <c r="H1156" s="26" t="str">
        <f aca="false">IF(A1156="","",DATE(YEAR(A1156),MONTH(A1156),1))</f>
        <v/>
      </c>
    </row>
    <row r="1157" customFormat="false" ht="15" hidden="false" customHeight="false" outlineLevel="0" collapsed="false">
      <c r="A1157" s="22"/>
      <c r="B1157" s="23"/>
      <c r="C1157" s="23"/>
      <c r="D1157" s="24"/>
      <c r="E1157" s="23"/>
      <c r="F1157" s="15" t="str">
        <f aca="false">IF(B1157="","",IFERROR(INDEX(Configurações!$B$7:$B$30,MATCH(B1157,Configurações!$A$7:$A$30,0)),"?"))</f>
        <v/>
      </c>
      <c r="G1157" s="25" t="str">
        <f aca="false">IF(A1157="","",A1157-WEEKDAY(A1157,2)+1)</f>
        <v/>
      </c>
      <c r="H1157" s="26" t="str">
        <f aca="false">IF(A1157="","",DATE(YEAR(A1157),MONTH(A1157),1))</f>
        <v/>
      </c>
    </row>
    <row r="1158" customFormat="false" ht="15" hidden="false" customHeight="false" outlineLevel="0" collapsed="false">
      <c r="A1158" s="22"/>
      <c r="B1158" s="23"/>
      <c r="C1158" s="23"/>
      <c r="D1158" s="24"/>
      <c r="E1158" s="23"/>
      <c r="F1158" s="15" t="str">
        <f aca="false">IF(B1158="","",IFERROR(INDEX(Configurações!$B$7:$B$30,MATCH(B1158,Configurações!$A$7:$A$30,0)),"?"))</f>
        <v/>
      </c>
      <c r="G1158" s="25" t="str">
        <f aca="false">IF(A1158="","",A1158-WEEKDAY(A1158,2)+1)</f>
        <v/>
      </c>
      <c r="H1158" s="26" t="str">
        <f aca="false">IF(A1158="","",DATE(YEAR(A1158),MONTH(A1158),1))</f>
        <v/>
      </c>
    </row>
    <row r="1159" customFormat="false" ht="15" hidden="false" customHeight="false" outlineLevel="0" collapsed="false">
      <c r="A1159" s="22"/>
      <c r="B1159" s="23"/>
      <c r="C1159" s="23"/>
      <c r="D1159" s="24"/>
      <c r="E1159" s="23"/>
      <c r="F1159" s="15" t="str">
        <f aca="false">IF(B1159="","",IFERROR(INDEX(Configurações!$B$7:$B$30,MATCH(B1159,Configurações!$A$7:$A$30,0)),"?"))</f>
        <v/>
      </c>
      <c r="G1159" s="25" t="str">
        <f aca="false">IF(A1159="","",A1159-WEEKDAY(A1159,2)+1)</f>
        <v/>
      </c>
      <c r="H1159" s="26" t="str">
        <f aca="false">IF(A1159="","",DATE(YEAR(A1159),MONTH(A1159),1))</f>
        <v/>
      </c>
    </row>
    <row r="1160" customFormat="false" ht="15" hidden="false" customHeight="false" outlineLevel="0" collapsed="false">
      <c r="A1160" s="22"/>
      <c r="B1160" s="23"/>
      <c r="C1160" s="23"/>
      <c r="D1160" s="24"/>
      <c r="E1160" s="23"/>
      <c r="F1160" s="15" t="str">
        <f aca="false">IF(B1160="","",IFERROR(INDEX(Configurações!$B$7:$B$30,MATCH(B1160,Configurações!$A$7:$A$30,0)),"?"))</f>
        <v/>
      </c>
      <c r="G1160" s="25" t="str">
        <f aca="false">IF(A1160="","",A1160-WEEKDAY(A1160,2)+1)</f>
        <v/>
      </c>
      <c r="H1160" s="26" t="str">
        <f aca="false">IF(A1160="","",DATE(YEAR(A1160),MONTH(A1160),1))</f>
        <v/>
      </c>
    </row>
    <row r="1161" customFormat="false" ht="15" hidden="false" customHeight="false" outlineLevel="0" collapsed="false">
      <c r="A1161" s="22"/>
      <c r="B1161" s="23"/>
      <c r="C1161" s="23"/>
      <c r="D1161" s="24"/>
      <c r="E1161" s="23"/>
      <c r="F1161" s="15" t="str">
        <f aca="false">IF(B1161="","",IFERROR(INDEX(Configurações!$B$7:$B$30,MATCH(B1161,Configurações!$A$7:$A$30,0)),"?"))</f>
        <v/>
      </c>
      <c r="G1161" s="25" t="str">
        <f aca="false">IF(A1161="","",A1161-WEEKDAY(A1161,2)+1)</f>
        <v/>
      </c>
      <c r="H1161" s="26" t="str">
        <f aca="false">IF(A1161="","",DATE(YEAR(A1161),MONTH(A1161),1))</f>
        <v/>
      </c>
    </row>
    <row r="1162" customFormat="false" ht="15" hidden="false" customHeight="false" outlineLevel="0" collapsed="false">
      <c r="A1162" s="22"/>
      <c r="B1162" s="23"/>
      <c r="C1162" s="23"/>
      <c r="D1162" s="24"/>
      <c r="E1162" s="23"/>
      <c r="F1162" s="15" t="str">
        <f aca="false">IF(B1162="","",IFERROR(INDEX(Configurações!$B$7:$B$30,MATCH(B1162,Configurações!$A$7:$A$30,0)),"?"))</f>
        <v/>
      </c>
      <c r="G1162" s="25" t="str">
        <f aca="false">IF(A1162="","",A1162-WEEKDAY(A1162,2)+1)</f>
        <v/>
      </c>
      <c r="H1162" s="26" t="str">
        <f aca="false">IF(A1162="","",DATE(YEAR(A1162),MONTH(A1162),1))</f>
        <v/>
      </c>
    </row>
    <row r="1163" customFormat="false" ht="15" hidden="false" customHeight="false" outlineLevel="0" collapsed="false">
      <c r="A1163" s="22"/>
      <c r="B1163" s="23"/>
      <c r="C1163" s="23"/>
      <c r="D1163" s="24"/>
      <c r="E1163" s="23"/>
      <c r="F1163" s="15" t="str">
        <f aca="false">IF(B1163="","",IFERROR(INDEX(Configurações!$B$7:$B$30,MATCH(B1163,Configurações!$A$7:$A$30,0)),"?"))</f>
        <v/>
      </c>
      <c r="G1163" s="25" t="str">
        <f aca="false">IF(A1163="","",A1163-WEEKDAY(A1163,2)+1)</f>
        <v/>
      </c>
      <c r="H1163" s="26" t="str">
        <f aca="false">IF(A1163="","",DATE(YEAR(A1163),MONTH(A1163),1))</f>
        <v/>
      </c>
    </row>
    <row r="1164" customFormat="false" ht="15" hidden="false" customHeight="false" outlineLevel="0" collapsed="false">
      <c r="A1164" s="22"/>
      <c r="B1164" s="23"/>
      <c r="C1164" s="23"/>
      <c r="D1164" s="24"/>
      <c r="E1164" s="23"/>
      <c r="F1164" s="15" t="str">
        <f aca="false">IF(B1164="","",IFERROR(INDEX(Configurações!$B$7:$B$30,MATCH(B1164,Configurações!$A$7:$A$30,0)),"?"))</f>
        <v/>
      </c>
      <c r="G1164" s="25" t="str">
        <f aca="false">IF(A1164="","",A1164-WEEKDAY(A1164,2)+1)</f>
        <v/>
      </c>
      <c r="H1164" s="26" t="str">
        <f aca="false">IF(A1164="","",DATE(YEAR(A1164),MONTH(A1164),1))</f>
        <v/>
      </c>
    </row>
    <row r="1165" customFormat="false" ht="15" hidden="false" customHeight="false" outlineLevel="0" collapsed="false">
      <c r="A1165" s="22"/>
      <c r="B1165" s="23"/>
      <c r="C1165" s="23"/>
      <c r="D1165" s="24"/>
      <c r="E1165" s="23"/>
      <c r="F1165" s="15" t="str">
        <f aca="false">IF(B1165="","",IFERROR(INDEX(Configurações!$B$7:$B$30,MATCH(B1165,Configurações!$A$7:$A$30,0)),"?"))</f>
        <v/>
      </c>
      <c r="G1165" s="25" t="str">
        <f aca="false">IF(A1165="","",A1165-WEEKDAY(A1165,2)+1)</f>
        <v/>
      </c>
      <c r="H1165" s="26" t="str">
        <f aca="false">IF(A1165="","",DATE(YEAR(A1165),MONTH(A1165),1))</f>
        <v/>
      </c>
    </row>
    <row r="1166" customFormat="false" ht="15" hidden="false" customHeight="false" outlineLevel="0" collapsed="false">
      <c r="A1166" s="22"/>
      <c r="B1166" s="23"/>
      <c r="C1166" s="23"/>
      <c r="D1166" s="24"/>
      <c r="E1166" s="23"/>
      <c r="F1166" s="15" t="str">
        <f aca="false">IF(B1166="","",IFERROR(INDEX(Configurações!$B$7:$B$30,MATCH(B1166,Configurações!$A$7:$A$30,0)),"?"))</f>
        <v/>
      </c>
      <c r="G1166" s="25" t="str">
        <f aca="false">IF(A1166="","",A1166-WEEKDAY(A1166,2)+1)</f>
        <v/>
      </c>
      <c r="H1166" s="26" t="str">
        <f aca="false">IF(A1166="","",DATE(YEAR(A1166),MONTH(A1166),1))</f>
        <v/>
      </c>
    </row>
    <row r="1167" customFormat="false" ht="15" hidden="false" customHeight="false" outlineLevel="0" collapsed="false">
      <c r="A1167" s="22"/>
      <c r="B1167" s="23"/>
      <c r="C1167" s="23"/>
      <c r="D1167" s="24"/>
      <c r="E1167" s="23"/>
      <c r="F1167" s="15" t="str">
        <f aca="false">IF(B1167="","",IFERROR(INDEX(Configurações!$B$7:$B$30,MATCH(B1167,Configurações!$A$7:$A$30,0)),"?"))</f>
        <v/>
      </c>
      <c r="G1167" s="25" t="str">
        <f aca="false">IF(A1167="","",A1167-WEEKDAY(A1167,2)+1)</f>
        <v/>
      </c>
      <c r="H1167" s="26" t="str">
        <f aca="false">IF(A1167="","",DATE(YEAR(A1167),MONTH(A1167),1))</f>
        <v/>
      </c>
    </row>
    <row r="1168" customFormat="false" ht="15" hidden="false" customHeight="false" outlineLevel="0" collapsed="false">
      <c r="A1168" s="22"/>
      <c r="B1168" s="23"/>
      <c r="C1168" s="23"/>
      <c r="D1168" s="24"/>
      <c r="E1168" s="23"/>
      <c r="F1168" s="15" t="str">
        <f aca="false">IF(B1168="","",IFERROR(INDEX(Configurações!$B$7:$B$30,MATCH(B1168,Configurações!$A$7:$A$30,0)),"?"))</f>
        <v/>
      </c>
      <c r="G1168" s="25" t="str">
        <f aca="false">IF(A1168="","",A1168-WEEKDAY(A1168,2)+1)</f>
        <v/>
      </c>
      <c r="H1168" s="26" t="str">
        <f aca="false">IF(A1168="","",DATE(YEAR(A1168),MONTH(A1168),1))</f>
        <v/>
      </c>
    </row>
    <row r="1169" customFormat="false" ht="15" hidden="false" customHeight="false" outlineLevel="0" collapsed="false">
      <c r="A1169" s="22"/>
      <c r="B1169" s="23"/>
      <c r="C1169" s="23"/>
      <c r="D1169" s="24"/>
      <c r="E1169" s="23"/>
      <c r="F1169" s="15" t="str">
        <f aca="false">IF(B1169="","",IFERROR(INDEX(Configurações!$B$7:$B$30,MATCH(B1169,Configurações!$A$7:$A$30,0)),"?"))</f>
        <v/>
      </c>
      <c r="G1169" s="25" t="str">
        <f aca="false">IF(A1169="","",A1169-WEEKDAY(A1169,2)+1)</f>
        <v/>
      </c>
      <c r="H1169" s="26" t="str">
        <f aca="false">IF(A1169="","",DATE(YEAR(A1169),MONTH(A1169),1))</f>
        <v/>
      </c>
    </row>
    <row r="1170" customFormat="false" ht="15" hidden="false" customHeight="false" outlineLevel="0" collapsed="false">
      <c r="A1170" s="22"/>
      <c r="B1170" s="23"/>
      <c r="C1170" s="23"/>
      <c r="D1170" s="24"/>
      <c r="E1170" s="23"/>
      <c r="F1170" s="15" t="str">
        <f aca="false">IF(B1170="","",IFERROR(INDEX(Configurações!$B$7:$B$30,MATCH(B1170,Configurações!$A$7:$A$30,0)),"?"))</f>
        <v/>
      </c>
      <c r="G1170" s="25" t="str">
        <f aca="false">IF(A1170="","",A1170-WEEKDAY(A1170,2)+1)</f>
        <v/>
      </c>
      <c r="H1170" s="26" t="str">
        <f aca="false">IF(A1170="","",DATE(YEAR(A1170),MONTH(A1170),1))</f>
        <v/>
      </c>
    </row>
    <row r="1171" customFormat="false" ht="15" hidden="false" customHeight="false" outlineLevel="0" collapsed="false">
      <c r="A1171" s="22"/>
      <c r="B1171" s="23"/>
      <c r="C1171" s="23"/>
      <c r="D1171" s="24"/>
      <c r="E1171" s="23"/>
      <c r="F1171" s="15" t="str">
        <f aca="false">IF(B1171="","",IFERROR(INDEX(Configurações!$B$7:$B$30,MATCH(B1171,Configurações!$A$7:$A$30,0)),"?"))</f>
        <v/>
      </c>
      <c r="G1171" s="25" t="str">
        <f aca="false">IF(A1171="","",A1171-WEEKDAY(A1171,2)+1)</f>
        <v/>
      </c>
      <c r="H1171" s="26" t="str">
        <f aca="false">IF(A1171="","",DATE(YEAR(A1171),MONTH(A1171),1))</f>
        <v/>
      </c>
    </row>
    <row r="1172" customFormat="false" ht="15" hidden="false" customHeight="false" outlineLevel="0" collapsed="false">
      <c r="A1172" s="22"/>
      <c r="B1172" s="23"/>
      <c r="C1172" s="23"/>
      <c r="D1172" s="24"/>
      <c r="E1172" s="23"/>
      <c r="F1172" s="15" t="str">
        <f aca="false">IF(B1172="","",IFERROR(INDEX(Configurações!$B$7:$B$30,MATCH(B1172,Configurações!$A$7:$A$30,0)),"?"))</f>
        <v/>
      </c>
      <c r="G1172" s="25" t="str">
        <f aca="false">IF(A1172="","",A1172-WEEKDAY(A1172,2)+1)</f>
        <v/>
      </c>
      <c r="H1172" s="26" t="str">
        <f aca="false">IF(A1172="","",DATE(YEAR(A1172),MONTH(A1172),1))</f>
        <v/>
      </c>
    </row>
    <row r="1173" customFormat="false" ht="15" hidden="false" customHeight="false" outlineLevel="0" collapsed="false">
      <c r="A1173" s="22"/>
      <c r="B1173" s="23"/>
      <c r="C1173" s="23"/>
      <c r="D1173" s="24"/>
      <c r="E1173" s="23"/>
      <c r="F1173" s="15" t="str">
        <f aca="false">IF(B1173="","",IFERROR(INDEX(Configurações!$B$7:$B$30,MATCH(B1173,Configurações!$A$7:$A$30,0)),"?"))</f>
        <v/>
      </c>
      <c r="G1173" s="25" t="str">
        <f aca="false">IF(A1173="","",A1173-WEEKDAY(A1173,2)+1)</f>
        <v/>
      </c>
      <c r="H1173" s="26" t="str">
        <f aca="false">IF(A1173="","",DATE(YEAR(A1173),MONTH(A1173),1))</f>
        <v/>
      </c>
    </row>
    <row r="1174" customFormat="false" ht="15" hidden="false" customHeight="false" outlineLevel="0" collapsed="false">
      <c r="A1174" s="22"/>
      <c r="B1174" s="23"/>
      <c r="C1174" s="23"/>
      <c r="D1174" s="24"/>
      <c r="E1174" s="23"/>
      <c r="F1174" s="15" t="str">
        <f aca="false">IF(B1174="","",IFERROR(INDEX(Configurações!$B$7:$B$30,MATCH(B1174,Configurações!$A$7:$A$30,0)),"?"))</f>
        <v/>
      </c>
      <c r="G1174" s="25" t="str">
        <f aca="false">IF(A1174="","",A1174-WEEKDAY(A1174,2)+1)</f>
        <v/>
      </c>
      <c r="H1174" s="26" t="str">
        <f aca="false">IF(A1174="","",DATE(YEAR(A1174),MONTH(A1174),1))</f>
        <v/>
      </c>
    </row>
    <row r="1175" customFormat="false" ht="15" hidden="false" customHeight="false" outlineLevel="0" collapsed="false">
      <c r="A1175" s="22"/>
      <c r="B1175" s="23"/>
      <c r="C1175" s="23"/>
      <c r="D1175" s="24"/>
      <c r="E1175" s="23"/>
      <c r="F1175" s="15" t="str">
        <f aca="false">IF(B1175="","",IFERROR(INDEX(Configurações!$B$7:$B$30,MATCH(B1175,Configurações!$A$7:$A$30,0)),"?"))</f>
        <v/>
      </c>
      <c r="G1175" s="25" t="str">
        <f aca="false">IF(A1175="","",A1175-WEEKDAY(A1175,2)+1)</f>
        <v/>
      </c>
      <c r="H1175" s="26" t="str">
        <f aca="false">IF(A1175="","",DATE(YEAR(A1175),MONTH(A1175),1))</f>
        <v/>
      </c>
    </row>
    <row r="1176" customFormat="false" ht="15" hidden="false" customHeight="false" outlineLevel="0" collapsed="false">
      <c r="A1176" s="22"/>
      <c r="B1176" s="23"/>
      <c r="C1176" s="23"/>
      <c r="D1176" s="24"/>
      <c r="E1176" s="23"/>
      <c r="F1176" s="15" t="str">
        <f aca="false">IF(B1176="","",IFERROR(INDEX(Configurações!$B$7:$B$30,MATCH(B1176,Configurações!$A$7:$A$30,0)),"?"))</f>
        <v/>
      </c>
      <c r="G1176" s="25" t="str">
        <f aca="false">IF(A1176="","",A1176-WEEKDAY(A1176,2)+1)</f>
        <v/>
      </c>
      <c r="H1176" s="26" t="str">
        <f aca="false">IF(A1176="","",DATE(YEAR(A1176),MONTH(A1176),1))</f>
        <v/>
      </c>
    </row>
    <row r="1177" customFormat="false" ht="15" hidden="false" customHeight="false" outlineLevel="0" collapsed="false">
      <c r="A1177" s="22"/>
      <c r="B1177" s="23"/>
      <c r="C1177" s="23"/>
      <c r="D1177" s="24"/>
      <c r="E1177" s="23"/>
      <c r="F1177" s="15" t="str">
        <f aca="false">IF(B1177="","",IFERROR(INDEX(Configurações!$B$7:$B$30,MATCH(B1177,Configurações!$A$7:$A$30,0)),"?"))</f>
        <v/>
      </c>
      <c r="G1177" s="25" t="str">
        <f aca="false">IF(A1177="","",A1177-WEEKDAY(A1177,2)+1)</f>
        <v/>
      </c>
      <c r="H1177" s="26" t="str">
        <f aca="false">IF(A1177="","",DATE(YEAR(A1177),MONTH(A1177),1))</f>
        <v/>
      </c>
    </row>
    <row r="1178" customFormat="false" ht="15" hidden="false" customHeight="false" outlineLevel="0" collapsed="false">
      <c r="A1178" s="22"/>
      <c r="B1178" s="23"/>
      <c r="C1178" s="23"/>
      <c r="D1178" s="24"/>
      <c r="E1178" s="23"/>
      <c r="F1178" s="15" t="str">
        <f aca="false">IF(B1178="","",IFERROR(INDEX(Configurações!$B$7:$B$30,MATCH(B1178,Configurações!$A$7:$A$30,0)),"?"))</f>
        <v/>
      </c>
      <c r="G1178" s="25" t="str">
        <f aca="false">IF(A1178="","",A1178-WEEKDAY(A1178,2)+1)</f>
        <v/>
      </c>
      <c r="H1178" s="26" t="str">
        <f aca="false">IF(A1178="","",DATE(YEAR(A1178),MONTH(A1178),1))</f>
        <v/>
      </c>
    </row>
    <row r="1179" customFormat="false" ht="15" hidden="false" customHeight="false" outlineLevel="0" collapsed="false">
      <c r="A1179" s="22"/>
      <c r="B1179" s="23"/>
      <c r="C1179" s="23"/>
      <c r="D1179" s="24"/>
      <c r="E1179" s="23"/>
      <c r="F1179" s="15" t="str">
        <f aca="false">IF(B1179="","",IFERROR(INDEX(Configurações!$B$7:$B$30,MATCH(B1179,Configurações!$A$7:$A$30,0)),"?"))</f>
        <v/>
      </c>
      <c r="G1179" s="25" t="str">
        <f aca="false">IF(A1179="","",A1179-WEEKDAY(A1179,2)+1)</f>
        <v/>
      </c>
      <c r="H1179" s="26" t="str">
        <f aca="false">IF(A1179="","",DATE(YEAR(A1179),MONTH(A1179),1))</f>
        <v/>
      </c>
    </row>
    <row r="1180" customFormat="false" ht="15" hidden="false" customHeight="false" outlineLevel="0" collapsed="false">
      <c r="A1180" s="22"/>
      <c r="B1180" s="23"/>
      <c r="C1180" s="23"/>
      <c r="D1180" s="24"/>
      <c r="E1180" s="23"/>
      <c r="F1180" s="15" t="str">
        <f aca="false">IF(B1180="","",IFERROR(INDEX(Configurações!$B$7:$B$30,MATCH(B1180,Configurações!$A$7:$A$30,0)),"?"))</f>
        <v/>
      </c>
      <c r="G1180" s="25" t="str">
        <f aca="false">IF(A1180="","",A1180-WEEKDAY(A1180,2)+1)</f>
        <v/>
      </c>
      <c r="H1180" s="26" t="str">
        <f aca="false">IF(A1180="","",DATE(YEAR(A1180),MONTH(A1180),1))</f>
        <v/>
      </c>
    </row>
    <row r="1181" customFormat="false" ht="15" hidden="false" customHeight="false" outlineLevel="0" collapsed="false">
      <c r="A1181" s="22"/>
      <c r="B1181" s="23"/>
      <c r="C1181" s="23"/>
      <c r="D1181" s="24"/>
      <c r="E1181" s="23"/>
      <c r="F1181" s="15" t="str">
        <f aca="false">IF(B1181="","",IFERROR(INDEX(Configurações!$B$7:$B$30,MATCH(B1181,Configurações!$A$7:$A$30,0)),"?"))</f>
        <v/>
      </c>
      <c r="G1181" s="25" t="str">
        <f aca="false">IF(A1181="","",A1181-WEEKDAY(A1181,2)+1)</f>
        <v/>
      </c>
      <c r="H1181" s="26" t="str">
        <f aca="false">IF(A1181="","",DATE(YEAR(A1181),MONTH(A1181),1))</f>
        <v/>
      </c>
    </row>
    <row r="1182" customFormat="false" ht="15" hidden="false" customHeight="false" outlineLevel="0" collapsed="false">
      <c r="A1182" s="22"/>
      <c r="B1182" s="23"/>
      <c r="C1182" s="23"/>
      <c r="D1182" s="24"/>
      <c r="E1182" s="23"/>
      <c r="F1182" s="15" t="str">
        <f aca="false">IF(B1182="","",IFERROR(INDEX(Configurações!$B$7:$B$30,MATCH(B1182,Configurações!$A$7:$A$30,0)),"?"))</f>
        <v/>
      </c>
      <c r="G1182" s="25" t="str">
        <f aca="false">IF(A1182="","",A1182-WEEKDAY(A1182,2)+1)</f>
        <v/>
      </c>
      <c r="H1182" s="26" t="str">
        <f aca="false">IF(A1182="","",DATE(YEAR(A1182),MONTH(A1182),1))</f>
        <v/>
      </c>
    </row>
    <row r="1183" customFormat="false" ht="15" hidden="false" customHeight="false" outlineLevel="0" collapsed="false">
      <c r="A1183" s="22"/>
      <c r="B1183" s="23"/>
      <c r="C1183" s="23"/>
      <c r="D1183" s="24"/>
      <c r="E1183" s="23"/>
      <c r="F1183" s="15" t="str">
        <f aca="false">IF(B1183="","",IFERROR(INDEX(Configurações!$B$7:$B$30,MATCH(B1183,Configurações!$A$7:$A$30,0)),"?"))</f>
        <v/>
      </c>
      <c r="G1183" s="25" t="str">
        <f aca="false">IF(A1183="","",A1183-WEEKDAY(A1183,2)+1)</f>
        <v/>
      </c>
      <c r="H1183" s="26" t="str">
        <f aca="false">IF(A1183="","",DATE(YEAR(A1183),MONTH(A1183),1))</f>
        <v/>
      </c>
    </row>
    <row r="1184" customFormat="false" ht="15" hidden="false" customHeight="false" outlineLevel="0" collapsed="false">
      <c r="A1184" s="22"/>
      <c r="B1184" s="23"/>
      <c r="C1184" s="23"/>
      <c r="D1184" s="24"/>
      <c r="E1184" s="23"/>
      <c r="F1184" s="15" t="str">
        <f aca="false">IF(B1184="","",IFERROR(INDEX(Configurações!$B$7:$B$30,MATCH(B1184,Configurações!$A$7:$A$30,0)),"?"))</f>
        <v/>
      </c>
      <c r="G1184" s="25" t="str">
        <f aca="false">IF(A1184="","",A1184-WEEKDAY(A1184,2)+1)</f>
        <v/>
      </c>
      <c r="H1184" s="26" t="str">
        <f aca="false">IF(A1184="","",DATE(YEAR(A1184),MONTH(A1184),1))</f>
        <v/>
      </c>
    </row>
    <row r="1185" customFormat="false" ht="15" hidden="false" customHeight="false" outlineLevel="0" collapsed="false">
      <c r="A1185" s="22"/>
      <c r="B1185" s="23"/>
      <c r="C1185" s="23"/>
      <c r="D1185" s="24"/>
      <c r="E1185" s="23"/>
      <c r="F1185" s="15" t="str">
        <f aca="false">IF(B1185="","",IFERROR(INDEX(Configurações!$B$7:$B$30,MATCH(B1185,Configurações!$A$7:$A$30,0)),"?"))</f>
        <v/>
      </c>
      <c r="G1185" s="25" t="str">
        <f aca="false">IF(A1185="","",A1185-WEEKDAY(A1185,2)+1)</f>
        <v/>
      </c>
      <c r="H1185" s="26" t="str">
        <f aca="false">IF(A1185="","",DATE(YEAR(A1185),MONTH(A1185),1))</f>
        <v/>
      </c>
    </row>
    <row r="1186" customFormat="false" ht="15" hidden="false" customHeight="false" outlineLevel="0" collapsed="false">
      <c r="A1186" s="22"/>
      <c r="B1186" s="23"/>
      <c r="C1186" s="23"/>
      <c r="D1186" s="24"/>
      <c r="E1186" s="23"/>
      <c r="F1186" s="15" t="str">
        <f aca="false">IF(B1186="","",IFERROR(INDEX(Configurações!$B$7:$B$30,MATCH(B1186,Configurações!$A$7:$A$30,0)),"?"))</f>
        <v/>
      </c>
      <c r="G1186" s="25" t="str">
        <f aca="false">IF(A1186="","",A1186-WEEKDAY(A1186,2)+1)</f>
        <v/>
      </c>
      <c r="H1186" s="26" t="str">
        <f aca="false">IF(A1186="","",DATE(YEAR(A1186),MONTH(A1186),1))</f>
        <v/>
      </c>
    </row>
    <row r="1187" customFormat="false" ht="15" hidden="false" customHeight="false" outlineLevel="0" collapsed="false">
      <c r="A1187" s="22"/>
      <c r="B1187" s="23"/>
      <c r="C1187" s="23"/>
      <c r="D1187" s="24"/>
      <c r="E1187" s="23"/>
      <c r="F1187" s="15" t="str">
        <f aca="false">IF(B1187="","",IFERROR(INDEX(Configurações!$B$7:$B$30,MATCH(B1187,Configurações!$A$7:$A$30,0)),"?"))</f>
        <v/>
      </c>
      <c r="G1187" s="25" t="str">
        <f aca="false">IF(A1187="","",A1187-WEEKDAY(A1187,2)+1)</f>
        <v/>
      </c>
      <c r="H1187" s="26" t="str">
        <f aca="false">IF(A1187="","",DATE(YEAR(A1187),MONTH(A1187),1))</f>
        <v/>
      </c>
    </row>
    <row r="1188" customFormat="false" ht="15" hidden="false" customHeight="false" outlineLevel="0" collapsed="false">
      <c r="A1188" s="22"/>
      <c r="B1188" s="23"/>
      <c r="C1188" s="23"/>
      <c r="D1188" s="24"/>
      <c r="E1188" s="23"/>
      <c r="F1188" s="15" t="str">
        <f aca="false">IF(B1188="","",IFERROR(INDEX(Configurações!$B$7:$B$30,MATCH(B1188,Configurações!$A$7:$A$30,0)),"?"))</f>
        <v/>
      </c>
      <c r="G1188" s="25" t="str">
        <f aca="false">IF(A1188="","",A1188-WEEKDAY(A1188,2)+1)</f>
        <v/>
      </c>
      <c r="H1188" s="26" t="str">
        <f aca="false">IF(A1188="","",DATE(YEAR(A1188),MONTH(A1188),1))</f>
        <v/>
      </c>
    </row>
    <row r="1189" customFormat="false" ht="15" hidden="false" customHeight="false" outlineLevel="0" collapsed="false">
      <c r="A1189" s="22"/>
      <c r="B1189" s="23"/>
      <c r="C1189" s="23"/>
      <c r="D1189" s="24"/>
      <c r="E1189" s="23"/>
      <c r="F1189" s="15" t="str">
        <f aca="false">IF(B1189="","",IFERROR(INDEX(Configurações!$B$7:$B$30,MATCH(B1189,Configurações!$A$7:$A$30,0)),"?"))</f>
        <v/>
      </c>
      <c r="G1189" s="25" t="str">
        <f aca="false">IF(A1189="","",A1189-WEEKDAY(A1189,2)+1)</f>
        <v/>
      </c>
      <c r="H1189" s="26" t="str">
        <f aca="false">IF(A1189="","",DATE(YEAR(A1189),MONTH(A1189),1))</f>
        <v/>
      </c>
    </row>
    <row r="1190" customFormat="false" ht="15" hidden="false" customHeight="false" outlineLevel="0" collapsed="false">
      <c r="A1190" s="22"/>
      <c r="B1190" s="23"/>
      <c r="C1190" s="23"/>
      <c r="D1190" s="24"/>
      <c r="E1190" s="23"/>
      <c r="F1190" s="15" t="str">
        <f aca="false">IF(B1190="","",IFERROR(INDEX(Configurações!$B$7:$B$30,MATCH(B1190,Configurações!$A$7:$A$30,0)),"?"))</f>
        <v/>
      </c>
      <c r="G1190" s="25" t="str">
        <f aca="false">IF(A1190="","",A1190-WEEKDAY(A1190,2)+1)</f>
        <v/>
      </c>
      <c r="H1190" s="26" t="str">
        <f aca="false">IF(A1190="","",DATE(YEAR(A1190),MONTH(A1190),1))</f>
        <v/>
      </c>
    </row>
    <row r="1191" customFormat="false" ht="15" hidden="false" customHeight="false" outlineLevel="0" collapsed="false">
      <c r="A1191" s="22"/>
      <c r="B1191" s="23"/>
      <c r="C1191" s="23"/>
      <c r="D1191" s="24"/>
      <c r="E1191" s="23"/>
      <c r="F1191" s="15" t="str">
        <f aca="false">IF(B1191="","",IFERROR(INDEX(Configurações!$B$7:$B$30,MATCH(B1191,Configurações!$A$7:$A$30,0)),"?"))</f>
        <v/>
      </c>
      <c r="G1191" s="25" t="str">
        <f aca="false">IF(A1191="","",A1191-WEEKDAY(A1191,2)+1)</f>
        <v/>
      </c>
      <c r="H1191" s="26" t="str">
        <f aca="false">IF(A1191="","",DATE(YEAR(A1191),MONTH(A1191),1))</f>
        <v/>
      </c>
    </row>
    <row r="1192" customFormat="false" ht="15" hidden="false" customHeight="false" outlineLevel="0" collapsed="false">
      <c r="A1192" s="22"/>
      <c r="B1192" s="23"/>
      <c r="C1192" s="23"/>
      <c r="D1192" s="24"/>
      <c r="E1192" s="23"/>
      <c r="F1192" s="15" t="str">
        <f aca="false">IF(B1192="","",IFERROR(INDEX(Configurações!$B$7:$B$30,MATCH(B1192,Configurações!$A$7:$A$30,0)),"?"))</f>
        <v/>
      </c>
      <c r="G1192" s="25" t="str">
        <f aca="false">IF(A1192="","",A1192-WEEKDAY(A1192,2)+1)</f>
        <v/>
      </c>
      <c r="H1192" s="26" t="str">
        <f aca="false">IF(A1192="","",DATE(YEAR(A1192),MONTH(A1192),1))</f>
        <v/>
      </c>
    </row>
    <row r="1193" customFormat="false" ht="15" hidden="false" customHeight="false" outlineLevel="0" collapsed="false">
      <c r="A1193" s="22"/>
      <c r="B1193" s="23"/>
      <c r="C1193" s="23"/>
      <c r="D1193" s="24"/>
      <c r="E1193" s="23"/>
      <c r="F1193" s="15" t="str">
        <f aca="false">IF(B1193="","",IFERROR(INDEX(Configurações!$B$7:$B$30,MATCH(B1193,Configurações!$A$7:$A$30,0)),"?"))</f>
        <v/>
      </c>
      <c r="G1193" s="25" t="str">
        <f aca="false">IF(A1193="","",A1193-WEEKDAY(A1193,2)+1)</f>
        <v/>
      </c>
      <c r="H1193" s="26" t="str">
        <f aca="false">IF(A1193="","",DATE(YEAR(A1193),MONTH(A1193),1))</f>
        <v/>
      </c>
    </row>
    <row r="1194" customFormat="false" ht="15" hidden="false" customHeight="false" outlineLevel="0" collapsed="false">
      <c r="A1194" s="22"/>
      <c r="B1194" s="23"/>
      <c r="C1194" s="23"/>
      <c r="D1194" s="24"/>
      <c r="E1194" s="23"/>
      <c r="F1194" s="15" t="str">
        <f aca="false">IF(B1194="","",IFERROR(INDEX(Configurações!$B$7:$B$30,MATCH(B1194,Configurações!$A$7:$A$30,0)),"?"))</f>
        <v/>
      </c>
      <c r="G1194" s="25" t="str">
        <f aca="false">IF(A1194="","",A1194-WEEKDAY(A1194,2)+1)</f>
        <v/>
      </c>
      <c r="H1194" s="26" t="str">
        <f aca="false">IF(A1194="","",DATE(YEAR(A1194),MONTH(A1194),1))</f>
        <v/>
      </c>
    </row>
    <row r="1195" customFormat="false" ht="15" hidden="false" customHeight="false" outlineLevel="0" collapsed="false">
      <c r="A1195" s="22"/>
      <c r="B1195" s="23"/>
      <c r="C1195" s="23"/>
      <c r="D1195" s="24"/>
      <c r="E1195" s="23"/>
      <c r="F1195" s="15" t="str">
        <f aca="false">IF(B1195="","",IFERROR(INDEX(Configurações!$B$7:$B$30,MATCH(B1195,Configurações!$A$7:$A$30,0)),"?"))</f>
        <v/>
      </c>
      <c r="G1195" s="25" t="str">
        <f aca="false">IF(A1195="","",A1195-WEEKDAY(A1195,2)+1)</f>
        <v/>
      </c>
      <c r="H1195" s="26" t="str">
        <f aca="false">IF(A1195="","",DATE(YEAR(A1195),MONTH(A1195),1))</f>
        <v/>
      </c>
    </row>
    <row r="1196" customFormat="false" ht="15" hidden="false" customHeight="false" outlineLevel="0" collapsed="false">
      <c r="A1196" s="22"/>
      <c r="B1196" s="23"/>
      <c r="C1196" s="23"/>
      <c r="D1196" s="24"/>
      <c r="E1196" s="23"/>
      <c r="F1196" s="15" t="str">
        <f aca="false">IF(B1196="","",IFERROR(INDEX(Configurações!$B$7:$B$30,MATCH(B1196,Configurações!$A$7:$A$30,0)),"?"))</f>
        <v/>
      </c>
      <c r="G1196" s="25" t="str">
        <f aca="false">IF(A1196="","",A1196-WEEKDAY(A1196,2)+1)</f>
        <v/>
      </c>
      <c r="H1196" s="26" t="str">
        <f aca="false">IF(A1196="","",DATE(YEAR(A1196),MONTH(A1196),1))</f>
        <v/>
      </c>
    </row>
    <row r="1197" customFormat="false" ht="15" hidden="false" customHeight="false" outlineLevel="0" collapsed="false">
      <c r="A1197" s="22"/>
      <c r="B1197" s="23"/>
      <c r="C1197" s="23"/>
      <c r="D1197" s="24"/>
      <c r="E1197" s="23"/>
      <c r="F1197" s="15" t="str">
        <f aca="false">IF(B1197="","",IFERROR(INDEX(Configurações!$B$7:$B$30,MATCH(B1197,Configurações!$A$7:$A$30,0)),"?"))</f>
        <v/>
      </c>
      <c r="G1197" s="25" t="str">
        <f aca="false">IF(A1197="","",A1197-WEEKDAY(A1197,2)+1)</f>
        <v/>
      </c>
      <c r="H1197" s="26" t="str">
        <f aca="false">IF(A1197="","",DATE(YEAR(A1197),MONTH(A1197),1))</f>
        <v/>
      </c>
    </row>
    <row r="1198" customFormat="false" ht="15" hidden="false" customHeight="false" outlineLevel="0" collapsed="false">
      <c r="A1198" s="22"/>
      <c r="B1198" s="23"/>
      <c r="C1198" s="23"/>
      <c r="D1198" s="24"/>
      <c r="E1198" s="23"/>
      <c r="F1198" s="15" t="str">
        <f aca="false">IF(B1198="","",IFERROR(INDEX(Configurações!$B$7:$B$30,MATCH(B1198,Configurações!$A$7:$A$30,0)),"?"))</f>
        <v/>
      </c>
      <c r="G1198" s="25" t="str">
        <f aca="false">IF(A1198="","",A1198-WEEKDAY(A1198,2)+1)</f>
        <v/>
      </c>
      <c r="H1198" s="26" t="str">
        <f aca="false">IF(A1198="","",DATE(YEAR(A1198),MONTH(A1198),1))</f>
        <v/>
      </c>
    </row>
    <row r="1199" customFormat="false" ht="15" hidden="false" customHeight="false" outlineLevel="0" collapsed="false">
      <c r="A1199" s="22"/>
      <c r="B1199" s="23"/>
      <c r="C1199" s="23"/>
      <c r="D1199" s="24"/>
      <c r="E1199" s="23"/>
      <c r="F1199" s="15" t="str">
        <f aca="false">IF(B1199="","",IFERROR(INDEX(Configurações!$B$7:$B$30,MATCH(B1199,Configurações!$A$7:$A$30,0)),"?"))</f>
        <v/>
      </c>
      <c r="G1199" s="25" t="str">
        <f aca="false">IF(A1199="","",A1199-WEEKDAY(A1199,2)+1)</f>
        <v/>
      </c>
      <c r="H1199" s="26" t="str">
        <f aca="false">IF(A1199="","",DATE(YEAR(A1199),MONTH(A1199),1))</f>
        <v/>
      </c>
    </row>
    <row r="1200" customFormat="false" ht="15" hidden="false" customHeight="false" outlineLevel="0" collapsed="false">
      <c r="A1200" s="22"/>
      <c r="B1200" s="23"/>
      <c r="C1200" s="23"/>
      <c r="D1200" s="24"/>
      <c r="E1200" s="23"/>
      <c r="F1200" s="15" t="str">
        <f aca="false">IF(B1200="","",IFERROR(INDEX(Configurações!$B$7:$B$30,MATCH(B1200,Configurações!$A$7:$A$30,0)),"?"))</f>
        <v/>
      </c>
      <c r="G1200" s="25" t="str">
        <f aca="false">IF(A1200="","",A1200-WEEKDAY(A1200,2)+1)</f>
        <v/>
      </c>
      <c r="H1200" s="26" t="str">
        <f aca="false">IF(A1200="","",DATE(YEAR(A1200),MONTH(A1200),1))</f>
        <v/>
      </c>
    </row>
    <row r="1201" customFormat="false" ht="15" hidden="false" customHeight="false" outlineLevel="0" collapsed="false">
      <c r="A1201" s="22"/>
      <c r="B1201" s="23"/>
      <c r="C1201" s="23"/>
      <c r="D1201" s="24"/>
      <c r="E1201" s="23"/>
      <c r="F1201" s="15" t="str">
        <f aca="false">IF(B1201="","",IFERROR(INDEX(Configurações!$B$7:$B$30,MATCH(B1201,Configurações!$A$7:$A$30,0)),"?"))</f>
        <v/>
      </c>
      <c r="G1201" s="25" t="str">
        <f aca="false">IF(A1201="","",A1201-WEEKDAY(A1201,2)+1)</f>
        <v/>
      </c>
      <c r="H1201" s="26" t="str">
        <f aca="false">IF(A1201="","",DATE(YEAR(A1201),MONTH(A1201),1))</f>
        <v/>
      </c>
    </row>
    <row r="1202" customFormat="false" ht="15" hidden="false" customHeight="false" outlineLevel="0" collapsed="false">
      <c r="A1202" s="22"/>
      <c r="B1202" s="23"/>
      <c r="C1202" s="23"/>
      <c r="D1202" s="24"/>
      <c r="E1202" s="23"/>
      <c r="F1202" s="15" t="str">
        <f aca="false">IF(B1202="","",IFERROR(INDEX(Configurações!$B$7:$B$30,MATCH(B1202,Configurações!$A$7:$A$30,0)),"?"))</f>
        <v/>
      </c>
      <c r="G1202" s="25" t="str">
        <f aca="false">IF(A1202="","",A1202-WEEKDAY(A1202,2)+1)</f>
        <v/>
      </c>
      <c r="H1202" s="26" t="str">
        <f aca="false">IF(A1202="","",DATE(YEAR(A1202),MONTH(A1202),1))</f>
        <v/>
      </c>
    </row>
    <row r="1203" customFormat="false" ht="15" hidden="false" customHeight="false" outlineLevel="0" collapsed="false">
      <c r="A1203" s="22"/>
      <c r="B1203" s="23"/>
      <c r="C1203" s="23"/>
      <c r="D1203" s="24"/>
      <c r="E1203" s="23"/>
      <c r="F1203" s="15" t="str">
        <f aca="false">IF(B1203="","",IFERROR(INDEX(Configurações!$B$7:$B$30,MATCH(B1203,Configurações!$A$7:$A$30,0)),"?"))</f>
        <v/>
      </c>
      <c r="G1203" s="25" t="str">
        <f aca="false">IF(A1203="","",A1203-WEEKDAY(A1203,2)+1)</f>
        <v/>
      </c>
      <c r="H1203" s="26" t="str">
        <f aca="false">IF(A1203="","",DATE(YEAR(A1203),MONTH(A1203),1))</f>
        <v/>
      </c>
    </row>
    <row r="1204" customFormat="false" ht="15" hidden="false" customHeight="false" outlineLevel="0" collapsed="false">
      <c r="A1204" s="22"/>
      <c r="B1204" s="23"/>
      <c r="C1204" s="23"/>
      <c r="D1204" s="24"/>
      <c r="E1204" s="23"/>
      <c r="F1204" s="15" t="str">
        <f aca="false">IF(B1204="","",IFERROR(INDEX(Configurações!$B$7:$B$30,MATCH(B1204,Configurações!$A$7:$A$30,0)),"?"))</f>
        <v/>
      </c>
      <c r="G1204" s="25" t="str">
        <f aca="false">IF(A1204="","",A1204-WEEKDAY(A1204,2)+1)</f>
        <v/>
      </c>
      <c r="H1204" s="26" t="str">
        <f aca="false">IF(A1204="","",DATE(YEAR(A1204),MONTH(A1204),1))</f>
        <v/>
      </c>
    </row>
    <row r="1205" customFormat="false" ht="15" hidden="false" customHeight="false" outlineLevel="0" collapsed="false">
      <c r="A1205" s="22"/>
      <c r="B1205" s="23"/>
      <c r="C1205" s="23"/>
      <c r="D1205" s="24"/>
      <c r="E1205" s="23"/>
      <c r="F1205" s="15" t="str">
        <f aca="false">IF(B1205="","",IFERROR(INDEX(Configurações!$B$7:$B$30,MATCH(B1205,Configurações!$A$7:$A$30,0)),"?"))</f>
        <v/>
      </c>
      <c r="G1205" s="25" t="str">
        <f aca="false">IF(A1205="","",A1205-WEEKDAY(A1205,2)+1)</f>
        <v/>
      </c>
      <c r="H1205" s="26" t="str">
        <f aca="false">IF(A1205="","",DATE(YEAR(A1205),MONTH(A1205),1))</f>
        <v/>
      </c>
    </row>
    <row r="1206" customFormat="false" ht="15" hidden="false" customHeight="false" outlineLevel="0" collapsed="false">
      <c r="A1206" s="22"/>
      <c r="B1206" s="23"/>
      <c r="C1206" s="23"/>
      <c r="D1206" s="24"/>
      <c r="E1206" s="23"/>
      <c r="F1206" s="15" t="str">
        <f aca="false">IF(B1206="","",IFERROR(INDEX(Configurações!$B$7:$B$30,MATCH(B1206,Configurações!$A$7:$A$30,0)),"?"))</f>
        <v/>
      </c>
      <c r="G1206" s="25" t="str">
        <f aca="false">IF(A1206="","",A1206-WEEKDAY(A1206,2)+1)</f>
        <v/>
      </c>
      <c r="H1206" s="26" t="str">
        <f aca="false">IF(A1206="","",DATE(YEAR(A1206),MONTH(A1206),1))</f>
        <v/>
      </c>
    </row>
    <row r="1207" customFormat="false" ht="15" hidden="false" customHeight="false" outlineLevel="0" collapsed="false">
      <c r="A1207" s="22"/>
      <c r="B1207" s="23"/>
      <c r="C1207" s="23"/>
      <c r="D1207" s="24"/>
      <c r="E1207" s="23"/>
      <c r="F1207" s="15" t="str">
        <f aca="false">IF(B1207="","",IFERROR(INDEX(Configurações!$B$7:$B$30,MATCH(B1207,Configurações!$A$7:$A$30,0)),"?"))</f>
        <v/>
      </c>
      <c r="G1207" s="25" t="str">
        <f aca="false">IF(A1207="","",A1207-WEEKDAY(A1207,2)+1)</f>
        <v/>
      </c>
      <c r="H1207" s="26" t="str">
        <f aca="false">IF(A1207="","",DATE(YEAR(A1207),MONTH(A1207),1))</f>
        <v/>
      </c>
    </row>
    <row r="1208" customFormat="false" ht="15" hidden="false" customHeight="false" outlineLevel="0" collapsed="false">
      <c r="A1208" s="22"/>
      <c r="B1208" s="23"/>
      <c r="C1208" s="23"/>
      <c r="D1208" s="24"/>
      <c r="E1208" s="23"/>
      <c r="F1208" s="15" t="str">
        <f aca="false">IF(B1208="","",IFERROR(INDEX(Configurações!$B$7:$B$30,MATCH(B1208,Configurações!$A$7:$A$30,0)),"?"))</f>
        <v/>
      </c>
      <c r="G1208" s="25" t="str">
        <f aca="false">IF(A1208="","",A1208-WEEKDAY(A1208,2)+1)</f>
        <v/>
      </c>
      <c r="H1208" s="26" t="str">
        <f aca="false">IF(A1208="","",DATE(YEAR(A1208),MONTH(A1208),1))</f>
        <v/>
      </c>
    </row>
    <row r="1209" customFormat="false" ht="15" hidden="false" customHeight="false" outlineLevel="0" collapsed="false">
      <c r="A1209" s="22"/>
      <c r="B1209" s="23"/>
      <c r="C1209" s="23"/>
      <c r="D1209" s="24"/>
      <c r="E1209" s="23"/>
      <c r="F1209" s="15" t="str">
        <f aca="false">IF(B1209="","",IFERROR(INDEX(Configurações!$B$7:$B$30,MATCH(B1209,Configurações!$A$7:$A$30,0)),"?"))</f>
        <v/>
      </c>
      <c r="G1209" s="25" t="str">
        <f aca="false">IF(A1209="","",A1209-WEEKDAY(A1209,2)+1)</f>
        <v/>
      </c>
      <c r="H1209" s="26" t="str">
        <f aca="false">IF(A1209="","",DATE(YEAR(A1209),MONTH(A1209),1))</f>
        <v/>
      </c>
    </row>
    <row r="1210" customFormat="false" ht="15" hidden="false" customHeight="false" outlineLevel="0" collapsed="false">
      <c r="A1210" s="22"/>
      <c r="B1210" s="23"/>
      <c r="C1210" s="23"/>
      <c r="D1210" s="24"/>
      <c r="E1210" s="23"/>
      <c r="F1210" s="15" t="str">
        <f aca="false">IF(B1210="","",IFERROR(INDEX(Configurações!$B$7:$B$30,MATCH(B1210,Configurações!$A$7:$A$30,0)),"?"))</f>
        <v/>
      </c>
      <c r="G1210" s="25" t="str">
        <f aca="false">IF(A1210="","",A1210-WEEKDAY(A1210,2)+1)</f>
        <v/>
      </c>
      <c r="H1210" s="26" t="str">
        <f aca="false">IF(A1210="","",DATE(YEAR(A1210),MONTH(A1210),1))</f>
        <v/>
      </c>
    </row>
    <row r="1211" customFormat="false" ht="15" hidden="false" customHeight="false" outlineLevel="0" collapsed="false">
      <c r="A1211" s="22"/>
      <c r="B1211" s="23"/>
      <c r="C1211" s="23"/>
      <c r="D1211" s="24"/>
      <c r="E1211" s="23"/>
      <c r="F1211" s="15" t="str">
        <f aca="false">IF(B1211="","",IFERROR(INDEX(Configurações!$B$7:$B$30,MATCH(B1211,Configurações!$A$7:$A$30,0)),"?"))</f>
        <v/>
      </c>
      <c r="G1211" s="25" t="str">
        <f aca="false">IF(A1211="","",A1211-WEEKDAY(A1211,2)+1)</f>
        <v/>
      </c>
      <c r="H1211" s="26" t="str">
        <f aca="false">IF(A1211="","",DATE(YEAR(A1211),MONTH(A1211),1))</f>
        <v/>
      </c>
    </row>
    <row r="1212" customFormat="false" ht="15" hidden="false" customHeight="false" outlineLevel="0" collapsed="false">
      <c r="A1212" s="22"/>
      <c r="B1212" s="23"/>
      <c r="C1212" s="23"/>
      <c r="D1212" s="24"/>
      <c r="E1212" s="23"/>
      <c r="F1212" s="15" t="str">
        <f aca="false">IF(B1212="","",IFERROR(INDEX(Configurações!$B$7:$B$30,MATCH(B1212,Configurações!$A$7:$A$30,0)),"?"))</f>
        <v/>
      </c>
      <c r="G1212" s="25" t="str">
        <f aca="false">IF(A1212="","",A1212-WEEKDAY(A1212,2)+1)</f>
        <v/>
      </c>
      <c r="H1212" s="26" t="str">
        <f aca="false">IF(A1212="","",DATE(YEAR(A1212),MONTH(A1212),1))</f>
        <v/>
      </c>
    </row>
    <row r="1213" customFormat="false" ht="15" hidden="false" customHeight="false" outlineLevel="0" collapsed="false">
      <c r="A1213" s="22"/>
      <c r="B1213" s="23"/>
      <c r="C1213" s="23"/>
      <c r="D1213" s="24"/>
      <c r="E1213" s="23"/>
      <c r="F1213" s="15" t="str">
        <f aca="false">IF(B1213="","",IFERROR(INDEX(Configurações!$B$7:$B$30,MATCH(B1213,Configurações!$A$7:$A$30,0)),"?"))</f>
        <v/>
      </c>
      <c r="G1213" s="25" t="str">
        <f aca="false">IF(A1213="","",A1213-WEEKDAY(A1213,2)+1)</f>
        <v/>
      </c>
      <c r="H1213" s="26" t="str">
        <f aca="false">IF(A1213="","",DATE(YEAR(A1213),MONTH(A1213),1))</f>
        <v/>
      </c>
    </row>
    <row r="1214" customFormat="false" ht="15" hidden="false" customHeight="false" outlineLevel="0" collapsed="false">
      <c r="A1214" s="22"/>
      <c r="B1214" s="23"/>
      <c r="C1214" s="23"/>
      <c r="D1214" s="24"/>
      <c r="E1214" s="23"/>
      <c r="F1214" s="15" t="str">
        <f aca="false">IF(B1214="","",IFERROR(INDEX(Configurações!$B$7:$B$30,MATCH(B1214,Configurações!$A$7:$A$30,0)),"?"))</f>
        <v/>
      </c>
      <c r="G1214" s="25" t="str">
        <f aca="false">IF(A1214="","",A1214-WEEKDAY(A1214,2)+1)</f>
        <v/>
      </c>
      <c r="H1214" s="26" t="str">
        <f aca="false">IF(A1214="","",DATE(YEAR(A1214),MONTH(A1214),1))</f>
        <v/>
      </c>
    </row>
    <row r="1215" customFormat="false" ht="15" hidden="false" customHeight="false" outlineLevel="0" collapsed="false">
      <c r="A1215" s="22"/>
      <c r="B1215" s="23"/>
      <c r="C1215" s="23"/>
      <c r="D1215" s="24"/>
      <c r="E1215" s="23"/>
      <c r="F1215" s="15" t="str">
        <f aca="false">IF(B1215="","",IFERROR(INDEX(Configurações!$B$7:$B$30,MATCH(B1215,Configurações!$A$7:$A$30,0)),"?"))</f>
        <v/>
      </c>
      <c r="G1215" s="25" t="str">
        <f aca="false">IF(A1215="","",A1215-WEEKDAY(A1215,2)+1)</f>
        <v/>
      </c>
      <c r="H1215" s="26" t="str">
        <f aca="false">IF(A1215="","",DATE(YEAR(A1215),MONTH(A1215),1))</f>
        <v/>
      </c>
    </row>
    <row r="1216" customFormat="false" ht="15" hidden="false" customHeight="false" outlineLevel="0" collapsed="false">
      <c r="A1216" s="22"/>
      <c r="B1216" s="23"/>
      <c r="C1216" s="23"/>
      <c r="D1216" s="24"/>
      <c r="E1216" s="23"/>
      <c r="F1216" s="15" t="str">
        <f aca="false">IF(B1216="","",IFERROR(INDEX(Configurações!$B$7:$B$30,MATCH(B1216,Configurações!$A$7:$A$30,0)),"?"))</f>
        <v/>
      </c>
      <c r="G1216" s="25" t="str">
        <f aca="false">IF(A1216="","",A1216-WEEKDAY(A1216,2)+1)</f>
        <v/>
      </c>
      <c r="H1216" s="26" t="str">
        <f aca="false">IF(A1216="","",DATE(YEAR(A1216),MONTH(A1216),1))</f>
        <v/>
      </c>
    </row>
    <row r="1217" customFormat="false" ht="15" hidden="false" customHeight="false" outlineLevel="0" collapsed="false">
      <c r="A1217" s="22"/>
      <c r="B1217" s="23"/>
      <c r="C1217" s="23"/>
      <c r="D1217" s="24"/>
      <c r="E1217" s="23"/>
      <c r="F1217" s="15" t="str">
        <f aca="false">IF(B1217="","",IFERROR(INDEX(Configurações!$B$7:$B$30,MATCH(B1217,Configurações!$A$7:$A$30,0)),"?"))</f>
        <v/>
      </c>
      <c r="G1217" s="25" t="str">
        <f aca="false">IF(A1217="","",A1217-WEEKDAY(A1217,2)+1)</f>
        <v/>
      </c>
      <c r="H1217" s="26" t="str">
        <f aca="false">IF(A1217="","",DATE(YEAR(A1217),MONTH(A1217),1))</f>
        <v/>
      </c>
    </row>
    <row r="1218" customFormat="false" ht="15" hidden="false" customHeight="false" outlineLevel="0" collapsed="false">
      <c r="A1218" s="22"/>
      <c r="B1218" s="23"/>
      <c r="C1218" s="23"/>
      <c r="D1218" s="24"/>
      <c r="E1218" s="23"/>
      <c r="F1218" s="15" t="str">
        <f aca="false">IF(B1218="","",IFERROR(INDEX(Configurações!$B$7:$B$30,MATCH(B1218,Configurações!$A$7:$A$30,0)),"?"))</f>
        <v/>
      </c>
      <c r="G1218" s="25" t="str">
        <f aca="false">IF(A1218="","",A1218-WEEKDAY(A1218,2)+1)</f>
        <v/>
      </c>
      <c r="H1218" s="26" t="str">
        <f aca="false">IF(A1218="","",DATE(YEAR(A1218),MONTH(A1218),1))</f>
        <v/>
      </c>
    </row>
    <row r="1219" customFormat="false" ht="15" hidden="false" customHeight="false" outlineLevel="0" collapsed="false">
      <c r="A1219" s="22"/>
      <c r="B1219" s="23"/>
      <c r="C1219" s="23"/>
      <c r="D1219" s="24"/>
      <c r="E1219" s="23"/>
      <c r="F1219" s="15" t="str">
        <f aca="false">IF(B1219="","",IFERROR(INDEX(Configurações!$B$7:$B$30,MATCH(B1219,Configurações!$A$7:$A$30,0)),"?"))</f>
        <v/>
      </c>
      <c r="G1219" s="25" t="str">
        <f aca="false">IF(A1219="","",A1219-WEEKDAY(A1219,2)+1)</f>
        <v/>
      </c>
      <c r="H1219" s="26" t="str">
        <f aca="false">IF(A1219="","",DATE(YEAR(A1219),MONTH(A1219),1))</f>
        <v/>
      </c>
    </row>
    <row r="1220" customFormat="false" ht="15" hidden="false" customHeight="false" outlineLevel="0" collapsed="false">
      <c r="A1220" s="22"/>
      <c r="B1220" s="23"/>
      <c r="C1220" s="23"/>
      <c r="D1220" s="24"/>
      <c r="E1220" s="23"/>
      <c r="F1220" s="15" t="str">
        <f aca="false">IF(B1220="","",IFERROR(INDEX(Configurações!$B$7:$B$30,MATCH(B1220,Configurações!$A$7:$A$30,0)),"?"))</f>
        <v/>
      </c>
      <c r="G1220" s="25" t="str">
        <f aca="false">IF(A1220="","",A1220-WEEKDAY(A1220,2)+1)</f>
        <v/>
      </c>
      <c r="H1220" s="26" t="str">
        <f aca="false">IF(A1220="","",DATE(YEAR(A1220),MONTH(A1220),1))</f>
        <v/>
      </c>
    </row>
    <row r="1221" customFormat="false" ht="15" hidden="false" customHeight="false" outlineLevel="0" collapsed="false">
      <c r="A1221" s="22"/>
      <c r="B1221" s="23"/>
      <c r="C1221" s="23"/>
      <c r="D1221" s="24"/>
      <c r="E1221" s="23"/>
      <c r="F1221" s="15" t="str">
        <f aca="false">IF(B1221="","",IFERROR(INDEX(Configurações!$B$7:$B$30,MATCH(B1221,Configurações!$A$7:$A$30,0)),"?"))</f>
        <v/>
      </c>
      <c r="G1221" s="25" t="str">
        <f aca="false">IF(A1221="","",A1221-WEEKDAY(A1221,2)+1)</f>
        <v/>
      </c>
      <c r="H1221" s="26" t="str">
        <f aca="false">IF(A1221="","",DATE(YEAR(A1221),MONTH(A1221),1))</f>
        <v/>
      </c>
    </row>
    <row r="1222" customFormat="false" ht="15" hidden="false" customHeight="false" outlineLevel="0" collapsed="false">
      <c r="A1222" s="22"/>
      <c r="B1222" s="23"/>
      <c r="C1222" s="23"/>
      <c r="D1222" s="24"/>
      <c r="E1222" s="23"/>
      <c r="F1222" s="15" t="str">
        <f aca="false">IF(B1222="","",IFERROR(INDEX(Configurações!$B$7:$B$30,MATCH(B1222,Configurações!$A$7:$A$30,0)),"?"))</f>
        <v/>
      </c>
      <c r="G1222" s="25" t="str">
        <f aca="false">IF(A1222="","",A1222-WEEKDAY(A1222,2)+1)</f>
        <v/>
      </c>
      <c r="H1222" s="26" t="str">
        <f aca="false">IF(A1222="","",DATE(YEAR(A1222),MONTH(A1222),1))</f>
        <v/>
      </c>
    </row>
    <row r="1223" customFormat="false" ht="15" hidden="false" customHeight="false" outlineLevel="0" collapsed="false">
      <c r="A1223" s="22"/>
      <c r="B1223" s="23"/>
      <c r="C1223" s="23"/>
      <c r="D1223" s="24"/>
      <c r="E1223" s="23"/>
      <c r="F1223" s="15" t="str">
        <f aca="false">IF(B1223="","",IFERROR(INDEX(Configurações!$B$7:$B$30,MATCH(B1223,Configurações!$A$7:$A$30,0)),"?"))</f>
        <v/>
      </c>
      <c r="G1223" s="25" t="str">
        <f aca="false">IF(A1223="","",A1223-WEEKDAY(A1223,2)+1)</f>
        <v/>
      </c>
      <c r="H1223" s="26" t="str">
        <f aca="false">IF(A1223="","",DATE(YEAR(A1223),MONTH(A1223),1))</f>
        <v/>
      </c>
    </row>
    <row r="1224" customFormat="false" ht="15" hidden="false" customHeight="false" outlineLevel="0" collapsed="false">
      <c r="A1224" s="22"/>
      <c r="B1224" s="23"/>
      <c r="C1224" s="23"/>
      <c r="D1224" s="24"/>
      <c r="E1224" s="23"/>
      <c r="F1224" s="15" t="str">
        <f aca="false">IF(B1224="","",IFERROR(INDEX(Configurações!$B$7:$B$30,MATCH(B1224,Configurações!$A$7:$A$30,0)),"?"))</f>
        <v/>
      </c>
      <c r="G1224" s="25" t="str">
        <f aca="false">IF(A1224="","",A1224-WEEKDAY(A1224,2)+1)</f>
        <v/>
      </c>
      <c r="H1224" s="26" t="str">
        <f aca="false">IF(A1224="","",DATE(YEAR(A1224),MONTH(A1224),1))</f>
        <v/>
      </c>
    </row>
    <row r="1225" customFormat="false" ht="15" hidden="false" customHeight="false" outlineLevel="0" collapsed="false">
      <c r="A1225" s="22"/>
      <c r="B1225" s="23"/>
      <c r="C1225" s="23"/>
      <c r="D1225" s="24"/>
      <c r="E1225" s="23"/>
      <c r="F1225" s="15" t="str">
        <f aca="false">IF(B1225="","",IFERROR(INDEX(Configurações!$B$7:$B$30,MATCH(B1225,Configurações!$A$7:$A$30,0)),"?"))</f>
        <v/>
      </c>
      <c r="G1225" s="25" t="str">
        <f aca="false">IF(A1225="","",A1225-WEEKDAY(A1225,2)+1)</f>
        <v/>
      </c>
      <c r="H1225" s="26" t="str">
        <f aca="false">IF(A1225="","",DATE(YEAR(A1225),MONTH(A1225),1))</f>
        <v/>
      </c>
    </row>
    <row r="1226" customFormat="false" ht="15" hidden="false" customHeight="false" outlineLevel="0" collapsed="false">
      <c r="A1226" s="22"/>
      <c r="B1226" s="23"/>
      <c r="C1226" s="23"/>
      <c r="D1226" s="24"/>
      <c r="E1226" s="23"/>
      <c r="F1226" s="15" t="str">
        <f aca="false">IF(B1226="","",IFERROR(INDEX(Configurações!$B$7:$B$30,MATCH(B1226,Configurações!$A$7:$A$30,0)),"?"))</f>
        <v/>
      </c>
      <c r="G1226" s="25" t="str">
        <f aca="false">IF(A1226="","",A1226-WEEKDAY(A1226,2)+1)</f>
        <v/>
      </c>
      <c r="H1226" s="26" t="str">
        <f aca="false">IF(A1226="","",DATE(YEAR(A1226),MONTH(A1226),1))</f>
        <v/>
      </c>
    </row>
    <row r="1227" customFormat="false" ht="15" hidden="false" customHeight="false" outlineLevel="0" collapsed="false">
      <c r="A1227" s="22"/>
      <c r="B1227" s="23"/>
      <c r="C1227" s="23"/>
      <c r="D1227" s="24"/>
      <c r="E1227" s="23"/>
      <c r="F1227" s="15" t="str">
        <f aca="false">IF(B1227="","",IFERROR(INDEX(Configurações!$B$7:$B$30,MATCH(B1227,Configurações!$A$7:$A$30,0)),"?"))</f>
        <v/>
      </c>
      <c r="G1227" s="25" t="str">
        <f aca="false">IF(A1227="","",A1227-WEEKDAY(A1227,2)+1)</f>
        <v/>
      </c>
      <c r="H1227" s="26" t="str">
        <f aca="false">IF(A1227="","",DATE(YEAR(A1227),MONTH(A1227),1))</f>
        <v/>
      </c>
    </row>
    <row r="1228" customFormat="false" ht="15" hidden="false" customHeight="false" outlineLevel="0" collapsed="false">
      <c r="A1228" s="22"/>
      <c r="B1228" s="23"/>
      <c r="C1228" s="23"/>
      <c r="D1228" s="24"/>
      <c r="E1228" s="23"/>
      <c r="F1228" s="15" t="str">
        <f aca="false">IF(B1228="","",IFERROR(INDEX(Configurações!$B$7:$B$30,MATCH(B1228,Configurações!$A$7:$A$30,0)),"?"))</f>
        <v/>
      </c>
      <c r="G1228" s="25" t="str">
        <f aca="false">IF(A1228="","",A1228-WEEKDAY(A1228,2)+1)</f>
        <v/>
      </c>
      <c r="H1228" s="26" t="str">
        <f aca="false">IF(A1228="","",DATE(YEAR(A1228),MONTH(A1228),1))</f>
        <v/>
      </c>
    </row>
    <row r="1229" customFormat="false" ht="15" hidden="false" customHeight="false" outlineLevel="0" collapsed="false">
      <c r="A1229" s="22"/>
      <c r="B1229" s="23"/>
      <c r="C1229" s="23"/>
      <c r="D1229" s="24"/>
      <c r="E1229" s="23"/>
      <c r="F1229" s="15" t="str">
        <f aca="false">IF(B1229="","",IFERROR(INDEX(Configurações!$B$7:$B$30,MATCH(B1229,Configurações!$A$7:$A$30,0)),"?"))</f>
        <v/>
      </c>
      <c r="G1229" s="25" t="str">
        <f aca="false">IF(A1229="","",A1229-WEEKDAY(A1229,2)+1)</f>
        <v/>
      </c>
      <c r="H1229" s="26" t="str">
        <f aca="false">IF(A1229="","",DATE(YEAR(A1229),MONTH(A1229),1))</f>
        <v/>
      </c>
    </row>
    <row r="1230" customFormat="false" ht="15" hidden="false" customHeight="false" outlineLevel="0" collapsed="false">
      <c r="A1230" s="22"/>
      <c r="B1230" s="23"/>
      <c r="C1230" s="23"/>
      <c r="D1230" s="24"/>
      <c r="E1230" s="23"/>
      <c r="F1230" s="15" t="str">
        <f aca="false">IF(B1230="","",IFERROR(INDEX(Configurações!$B$7:$B$30,MATCH(B1230,Configurações!$A$7:$A$30,0)),"?"))</f>
        <v/>
      </c>
      <c r="G1230" s="25" t="str">
        <f aca="false">IF(A1230="","",A1230-WEEKDAY(A1230,2)+1)</f>
        <v/>
      </c>
      <c r="H1230" s="26" t="str">
        <f aca="false">IF(A1230="","",DATE(YEAR(A1230),MONTH(A1230),1))</f>
        <v/>
      </c>
    </row>
    <row r="1231" customFormat="false" ht="15" hidden="false" customHeight="false" outlineLevel="0" collapsed="false">
      <c r="A1231" s="22"/>
      <c r="B1231" s="23"/>
      <c r="C1231" s="23"/>
      <c r="D1231" s="24"/>
      <c r="E1231" s="23"/>
      <c r="F1231" s="15" t="str">
        <f aca="false">IF(B1231="","",IFERROR(INDEX(Configurações!$B$7:$B$30,MATCH(B1231,Configurações!$A$7:$A$30,0)),"?"))</f>
        <v/>
      </c>
      <c r="G1231" s="25" t="str">
        <f aca="false">IF(A1231="","",A1231-WEEKDAY(A1231,2)+1)</f>
        <v/>
      </c>
      <c r="H1231" s="26" t="str">
        <f aca="false">IF(A1231="","",DATE(YEAR(A1231),MONTH(A1231),1))</f>
        <v/>
      </c>
    </row>
    <row r="1232" customFormat="false" ht="15" hidden="false" customHeight="false" outlineLevel="0" collapsed="false">
      <c r="A1232" s="22"/>
      <c r="B1232" s="23"/>
      <c r="C1232" s="23"/>
      <c r="D1232" s="24"/>
      <c r="E1232" s="23"/>
      <c r="F1232" s="15" t="str">
        <f aca="false">IF(B1232="","",IFERROR(INDEX(Configurações!$B$7:$B$30,MATCH(B1232,Configurações!$A$7:$A$30,0)),"?"))</f>
        <v/>
      </c>
      <c r="G1232" s="25" t="str">
        <f aca="false">IF(A1232="","",A1232-WEEKDAY(A1232,2)+1)</f>
        <v/>
      </c>
      <c r="H1232" s="26" t="str">
        <f aca="false">IF(A1232="","",DATE(YEAR(A1232),MONTH(A1232),1))</f>
        <v/>
      </c>
    </row>
    <row r="1233" customFormat="false" ht="15" hidden="false" customHeight="false" outlineLevel="0" collapsed="false">
      <c r="A1233" s="22"/>
      <c r="B1233" s="23"/>
      <c r="C1233" s="23"/>
      <c r="D1233" s="24"/>
      <c r="E1233" s="23"/>
      <c r="F1233" s="15" t="str">
        <f aca="false">IF(B1233="","",IFERROR(INDEX(Configurações!$B$7:$B$30,MATCH(B1233,Configurações!$A$7:$A$30,0)),"?"))</f>
        <v/>
      </c>
      <c r="G1233" s="25" t="str">
        <f aca="false">IF(A1233="","",A1233-WEEKDAY(A1233,2)+1)</f>
        <v/>
      </c>
      <c r="H1233" s="26" t="str">
        <f aca="false">IF(A1233="","",DATE(YEAR(A1233),MONTH(A1233),1))</f>
        <v/>
      </c>
    </row>
    <row r="1234" customFormat="false" ht="15" hidden="false" customHeight="false" outlineLevel="0" collapsed="false">
      <c r="A1234" s="22"/>
      <c r="B1234" s="23"/>
      <c r="C1234" s="23"/>
      <c r="D1234" s="24"/>
      <c r="E1234" s="23"/>
      <c r="F1234" s="15" t="str">
        <f aca="false">IF(B1234="","",IFERROR(INDEX(Configurações!$B$7:$B$30,MATCH(B1234,Configurações!$A$7:$A$30,0)),"?"))</f>
        <v/>
      </c>
      <c r="G1234" s="25" t="str">
        <f aca="false">IF(A1234="","",A1234-WEEKDAY(A1234,2)+1)</f>
        <v/>
      </c>
      <c r="H1234" s="26" t="str">
        <f aca="false">IF(A1234="","",DATE(YEAR(A1234),MONTH(A1234),1))</f>
        <v/>
      </c>
    </row>
    <row r="1235" customFormat="false" ht="15" hidden="false" customHeight="false" outlineLevel="0" collapsed="false">
      <c r="A1235" s="22"/>
      <c r="B1235" s="23"/>
      <c r="C1235" s="23"/>
      <c r="D1235" s="24"/>
      <c r="E1235" s="23"/>
      <c r="F1235" s="15" t="str">
        <f aca="false">IF(B1235="","",IFERROR(INDEX(Configurações!$B$7:$B$30,MATCH(B1235,Configurações!$A$7:$A$30,0)),"?"))</f>
        <v/>
      </c>
      <c r="G1235" s="25" t="str">
        <f aca="false">IF(A1235="","",A1235-WEEKDAY(A1235,2)+1)</f>
        <v/>
      </c>
      <c r="H1235" s="26" t="str">
        <f aca="false">IF(A1235="","",DATE(YEAR(A1235),MONTH(A1235),1))</f>
        <v/>
      </c>
    </row>
    <row r="1236" customFormat="false" ht="15" hidden="false" customHeight="false" outlineLevel="0" collapsed="false">
      <c r="A1236" s="22"/>
      <c r="B1236" s="23"/>
      <c r="C1236" s="23"/>
      <c r="D1236" s="24"/>
      <c r="E1236" s="23"/>
      <c r="F1236" s="15" t="str">
        <f aca="false">IF(B1236="","",IFERROR(INDEX(Configurações!$B$7:$B$30,MATCH(B1236,Configurações!$A$7:$A$30,0)),"?"))</f>
        <v/>
      </c>
      <c r="G1236" s="25" t="str">
        <f aca="false">IF(A1236="","",A1236-WEEKDAY(A1236,2)+1)</f>
        <v/>
      </c>
      <c r="H1236" s="26" t="str">
        <f aca="false">IF(A1236="","",DATE(YEAR(A1236),MONTH(A1236),1))</f>
        <v/>
      </c>
    </row>
    <row r="1237" customFormat="false" ht="15" hidden="false" customHeight="false" outlineLevel="0" collapsed="false">
      <c r="A1237" s="22"/>
      <c r="B1237" s="23"/>
      <c r="C1237" s="23"/>
      <c r="D1237" s="24"/>
      <c r="E1237" s="23"/>
      <c r="F1237" s="15" t="str">
        <f aca="false">IF(B1237="","",IFERROR(INDEX(Configurações!$B$7:$B$30,MATCH(B1237,Configurações!$A$7:$A$30,0)),"?"))</f>
        <v/>
      </c>
      <c r="G1237" s="25" t="str">
        <f aca="false">IF(A1237="","",A1237-WEEKDAY(A1237,2)+1)</f>
        <v/>
      </c>
      <c r="H1237" s="26" t="str">
        <f aca="false">IF(A1237="","",DATE(YEAR(A1237),MONTH(A1237),1))</f>
        <v/>
      </c>
    </row>
    <row r="1238" customFormat="false" ht="15" hidden="false" customHeight="false" outlineLevel="0" collapsed="false">
      <c r="A1238" s="22"/>
      <c r="B1238" s="23"/>
      <c r="C1238" s="23"/>
      <c r="D1238" s="24"/>
      <c r="E1238" s="23"/>
      <c r="F1238" s="15" t="str">
        <f aca="false">IF(B1238="","",IFERROR(INDEX(Configurações!$B$7:$B$30,MATCH(B1238,Configurações!$A$7:$A$30,0)),"?"))</f>
        <v/>
      </c>
      <c r="G1238" s="25" t="str">
        <f aca="false">IF(A1238="","",A1238-WEEKDAY(A1238,2)+1)</f>
        <v/>
      </c>
      <c r="H1238" s="26" t="str">
        <f aca="false">IF(A1238="","",DATE(YEAR(A1238),MONTH(A1238),1))</f>
        <v/>
      </c>
    </row>
    <row r="1239" customFormat="false" ht="15" hidden="false" customHeight="false" outlineLevel="0" collapsed="false">
      <c r="A1239" s="22"/>
      <c r="B1239" s="23"/>
      <c r="C1239" s="23"/>
      <c r="D1239" s="24"/>
      <c r="E1239" s="23"/>
      <c r="F1239" s="15" t="str">
        <f aca="false">IF(B1239="","",IFERROR(INDEX(Configurações!$B$7:$B$30,MATCH(B1239,Configurações!$A$7:$A$30,0)),"?"))</f>
        <v/>
      </c>
      <c r="G1239" s="25" t="str">
        <f aca="false">IF(A1239="","",A1239-WEEKDAY(A1239,2)+1)</f>
        <v/>
      </c>
      <c r="H1239" s="26" t="str">
        <f aca="false">IF(A1239="","",DATE(YEAR(A1239),MONTH(A1239),1))</f>
        <v/>
      </c>
    </row>
    <row r="1240" customFormat="false" ht="15" hidden="false" customHeight="false" outlineLevel="0" collapsed="false">
      <c r="A1240" s="22"/>
      <c r="B1240" s="23"/>
      <c r="C1240" s="23"/>
      <c r="D1240" s="24"/>
      <c r="E1240" s="23"/>
      <c r="F1240" s="15" t="str">
        <f aca="false">IF(B1240="","",IFERROR(INDEX(Configurações!$B$7:$B$30,MATCH(B1240,Configurações!$A$7:$A$30,0)),"?"))</f>
        <v/>
      </c>
      <c r="G1240" s="25" t="str">
        <f aca="false">IF(A1240="","",A1240-WEEKDAY(A1240,2)+1)</f>
        <v/>
      </c>
      <c r="H1240" s="26" t="str">
        <f aca="false">IF(A1240="","",DATE(YEAR(A1240),MONTH(A1240),1))</f>
        <v/>
      </c>
    </row>
    <row r="1241" customFormat="false" ht="15" hidden="false" customHeight="false" outlineLevel="0" collapsed="false">
      <c r="A1241" s="22"/>
      <c r="B1241" s="23"/>
      <c r="C1241" s="23"/>
      <c r="D1241" s="24"/>
      <c r="E1241" s="23"/>
      <c r="F1241" s="15" t="str">
        <f aca="false">IF(B1241="","",IFERROR(INDEX(Configurações!$B$7:$B$30,MATCH(B1241,Configurações!$A$7:$A$30,0)),"?"))</f>
        <v/>
      </c>
      <c r="G1241" s="25" t="str">
        <f aca="false">IF(A1241="","",A1241-WEEKDAY(A1241,2)+1)</f>
        <v/>
      </c>
      <c r="H1241" s="26" t="str">
        <f aca="false">IF(A1241="","",DATE(YEAR(A1241),MONTH(A1241),1))</f>
        <v/>
      </c>
    </row>
    <row r="1242" customFormat="false" ht="15" hidden="false" customHeight="false" outlineLevel="0" collapsed="false">
      <c r="A1242" s="22"/>
      <c r="B1242" s="23"/>
      <c r="C1242" s="23"/>
      <c r="D1242" s="24"/>
      <c r="E1242" s="23"/>
      <c r="F1242" s="15" t="str">
        <f aca="false">IF(B1242="","",IFERROR(INDEX(Configurações!$B$7:$B$30,MATCH(B1242,Configurações!$A$7:$A$30,0)),"?"))</f>
        <v/>
      </c>
      <c r="G1242" s="25" t="str">
        <f aca="false">IF(A1242="","",A1242-WEEKDAY(A1242,2)+1)</f>
        <v/>
      </c>
      <c r="H1242" s="26" t="str">
        <f aca="false">IF(A1242="","",DATE(YEAR(A1242),MONTH(A1242),1))</f>
        <v/>
      </c>
    </row>
    <row r="1243" customFormat="false" ht="15" hidden="false" customHeight="false" outlineLevel="0" collapsed="false">
      <c r="A1243" s="22"/>
      <c r="B1243" s="23"/>
      <c r="C1243" s="23"/>
      <c r="D1243" s="24"/>
      <c r="E1243" s="23"/>
      <c r="F1243" s="15" t="str">
        <f aca="false">IF(B1243="","",IFERROR(INDEX(Configurações!$B$7:$B$30,MATCH(B1243,Configurações!$A$7:$A$30,0)),"?"))</f>
        <v/>
      </c>
      <c r="G1243" s="25" t="str">
        <f aca="false">IF(A1243="","",A1243-WEEKDAY(A1243,2)+1)</f>
        <v/>
      </c>
      <c r="H1243" s="26" t="str">
        <f aca="false">IF(A1243="","",DATE(YEAR(A1243),MONTH(A1243),1))</f>
        <v/>
      </c>
    </row>
    <row r="1244" customFormat="false" ht="15" hidden="false" customHeight="false" outlineLevel="0" collapsed="false">
      <c r="A1244" s="22"/>
      <c r="B1244" s="23"/>
      <c r="C1244" s="23"/>
      <c r="D1244" s="24"/>
      <c r="E1244" s="23"/>
      <c r="F1244" s="15" t="str">
        <f aca="false">IF(B1244="","",IFERROR(INDEX(Configurações!$B$7:$B$30,MATCH(B1244,Configurações!$A$7:$A$30,0)),"?"))</f>
        <v/>
      </c>
      <c r="G1244" s="25" t="str">
        <f aca="false">IF(A1244="","",A1244-WEEKDAY(A1244,2)+1)</f>
        <v/>
      </c>
      <c r="H1244" s="26" t="str">
        <f aca="false">IF(A1244="","",DATE(YEAR(A1244),MONTH(A1244),1))</f>
        <v/>
      </c>
    </row>
    <row r="1245" customFormat="false" ht="15" hidden="false" customHeight="false" outlineLevel="0" collapsed="false">
      <c r="A1245" s="22"/>
      <c r="B1245" s="23"/>
      <c r="C1245" s="23"/>
      <c r="D1245" s="24"/>
      <c r="E1245" s="23"/>
      <c r="F1245" s="15" t="str">
        <f aca="false">IF(B1245="","",IFERROR(INDEX(Configurações!$B$7:$B$30,MATCH(B1245,Configurações!$A$7:$A$30,0)),"?"))</f>
        <v/>
      </c>
      <c r="G1245" s="25" t="str">
        <f aca="false">IF(A1245="","",A1245-WEEKDAY(A1245,2)+1)</f>
        <v/>
      </c>
      <c r="H1245" s="26" t="str">
        <f aca="false">IF(A1245="","",DATE(YEAR(A1245),MONTH(A1245),1))</f>
        <v/>
      </c>
    </row>
    <row r="1246" customFormat="false" ht="15" hidden="false" customHeight="false" outlineLevel="0" collapsed="false">
      <c r="A1246" s="22"/>
      <c r="B1246" s="23"/>
      <c r="C1246" s="23"/>
      <c r="D1246" s="24"/>
      <c r="E1246" s="23"/>
      <c r="F1246" s="15" t="str">
        <f aca="false">IF(B1246="","",IFERROR(INDEX(Configurações!$B$7:$B$30,MATCH(B1246,Configurações!$A$7:$A$30,0)),"?"))</f>
        <v/>
      </c>
      <c r="G1246" s="25" t="str">
        <f aca="false">IF(A1246="","",A1246-WEEKDAY(A1246,2)+1)</f>
        <v/>
      </c>
      <c r="H1246" s="26" t="str">
        <f aca="false">IF(A1246="","",DATE(YEAR(A1246),MONTH(A1246),1))</f>
        <v/>
      </c>
    </row>
    <row r="1247" customFormat="false" ht="15" hidden="false" customHeight="false" outlineLevel="0" collapsed="false">
      <c r="A1247" s="22"/>
      <c r="B1247" s="23"/>
      <c r="C1247" s="23"/>
      <c r="D1247" s="24"/>
      <c r="E1247" s="23"/>
      <c r="F1247" s="15" t="str">
        <f aca="false">IF(B1247="","",IFERROR(INDEX(Configurações!$B$7:$B$30,MATCH(B1247,Configurações!$A$7:$A$30,0)),"?"))</f>
        <v/>
      </c>
      <c r="G1247" s="25" t="str">
        <f aca="false">IF(A1247="","",A1247-WEEKDAY(A1247,2)+1)</f>
        <v/>
      </c>
      <c r="H1247" s="26" t="str">
        <f aca="false">IF(A1247="","",DATE(YEAR(A1247),MONTH(A1247),1))</f>
        <v/>
      </c>
    </row>
    <row r="1248" customFormat="false" ht="15" hidden="false" customHeight="false" outlineLevel="0" collapsed="false">
      <c r="A1248" s="22"/>
      <c r="B1248" s="23"/>
      <c r="C1248" s="23"/>
      <c r="D1248" s="24"/>
      <c r="E1248" s="23"/>
      <c r="F1248" s="15" t="str">
        <f aca="false">IF(B1248="","",IFERROR(INDEX(Configurações!$B$7:$B$30,MATCH(B1248,Configurações!$A$7:$A$30,0)),"?"))</f>
        <v/>
      </c>
      <c r="G1248" s="25" t="str">
        <f aca="false">IF(A1248="","",A1248-WEEKDAY(A1248,2)+1)</f>
        <v/>
      </c>
      <c r="H1248" s="26" t="str">
        <f aca="false">IF(A1248="","",DATE(YEAR(A1248),MONTH(A1248),1))</f>
        <v/>
      </c>
    </row>
    <row r="1249" customFormat="false" ht="15" hidden="false" customHeight="false" outlineLevel="0" collapsed="false">
      <c r="A1249" s="22"/>
      <c r="B1249" s="23"/>
      <c r="C1249" s="23"/>
      <c r="D1249" s="24"/>
      <c r="E1249" s="23"/>
      <c r="F1249" s="15" t="str">
        <f aca="false">IF(B1249="","",IFERROR(INDEX(Configurações!$B$7:$B$30,MATCH(B1249,Configurações!$A$7:$A$30,0)),"?"))</f>
        <v/>
      </c>
      <c r="G1249" s="25" t="str">
        <f aca="false">IF(A1249="","",A1249-WEEKDAY(A1249,2)+1)</f>
        <v/>
      </c>
      <c r="H1249" s="26" t="str">
        <f aca="false">IF(A1249="","",DATE(YEAR(A1249),MONTH(A1249),1))</f>
        <v/>
      </c>
    </row>
    <row r="1250" customFormat="false" ht="15" hidden="false" customHeight="false" outlineLevel="0" collapsed="false">
      <c r="A1250" s="22"/>
      <c r="B1250" s="23"/>
      <c r="C1250" s="23"/>
      <c r="D1250" s="24"/>
      <c r="E1250" s="23"/>
      <c r="F1250" s="15" t="str">
        <f aca="false">IF(B1250="","",IFERROR(INDEX(Configurações!$B$7:$B$30,MATCH(B1250,Configurações!$A$7:$A$30,0)),"?"))</f>
        <v/>
      </c>
      <c r="G1250" s="25" t="str">
        <f aca="false">IF(A1250="","",A1250-WEEKDAY(A1250,2)+1)</f>
        <v/>
      </c>
      <c r="H1250" s="26" t="str">
        <f aca="false">IF(A1250="","",DATE(YEAR(A1250),MONTH(A1250),1))</f>
        <v/>
      </c>
    </row>
    <row r="1251" customFormat="false" ht="15" hidden="false" customHeight="false" outlineLevel="0" collapsed="false">
      <c r="A1251" s="22"/>
      <c r="B1251" s="23"/>
      <c r="C1251" s="23"/>
      <c r="D1251" s="24"/>
      <c r="E1251" s="23"/>
      <c r="F1251" s="15" t="str">
        <f aca="false">IF(B1251="","",IFERROR(INDEX(Configurações!$B$7:$B$30,MATCH(B1251,Configurações!$A$7:$A$30,0)),"?"))</f>
        <v/>
      </c>
      <c r="G1251" s="25" t="str">
        <f aca="false">IF(A1251="","",A1251-WEEKDAY(A1251,2)+1)</f>
        <v/>
      </c>
      <c r="H1251" s="26" t="str">
        <f aca="false">IF(A1251="","",DATE(YEAR(A1251),MONTH(A1251),1))</f>
        <v/>
      </c>
    </row>
    <row r="1252" customFormat="false" ht="15" hidden="false" customHeight="false" outlineLevel="0" collapsed="false">
      <c r="A1252" s="22"/>
      <c r="B1252" s="23"/>
      <c r="C1252" s="23"/>
      <c r="D1252" s="24"/>
      <c r="E1252" s="23"/>
      <c r="F1252" s="15" t="str">
        <f aca="false">IF(B1252="","",IFERROR(INDEX(Configurações!$B$7:$B$30,MATCH(B1252,Configurações!$A$7:$A$30,0)),"?"))</f>
        <v/>
      </c>
      <c r="G1252" s="25" t="str">
        <f aca="false">IF(A1252="","",A1252-WEEKDAY(A1252,2)+1)</f>
        <v/>
      </c>
      <c r="H1252" s="26" t="str">
        <f aca="false">IF(A1252="","",DATE(YEAR(A1252),MONTH(A1252),1))</f>
        <v/>
      </c>
    </row>
    <row r="1253" customFormat="false" ht="15" hidden="false" customHeight="false" outlineLevel="0" collapsed="false">
      <c r="A1253" s="22"/>
      <c r="B1253" s="23"/>
      <c r="C1253" s="23"/>
      <c r="D1253" s="24"/>
      <c r="E1253" s="23"/>
      <c r="F1253" s="15" t="str">
        <f aca="false">IF(B1253="","",IFERROR(INDEX(Configurações!$B$7:$B$30,MATCH(B1253,Configurações!$A$7:$A$30,0)),"?"))</f>
        <v/>
      </c>
      <c r="G1253" s="25" t="str">
        <f aca="false">IF(A1253="","",A1253-WEEKDAY(A1253,2)+1)</f>
        <v/>
      </c>
      <c r="H1253" s="26" t="str">
        <f aca="false">IF(A1253="","",DATE(YEAR(A1253),MONTH(A1253),1))</f>
        <v/>
      </c>
    </row>
    <row r="1254" customFormat="false" ht="15" hidden="false" customHeight="false" outlineLevel="0" collapsed="false">
      <c r="A1254" s="22"/>
      <c r="B1254" s="23"/>
      <c r="C1254" s="23"/>
      <c r="D1254" s="24"/>
      <c r="E1254" s="23"/>
      <c r="F1254" s="15" t="str">
        <f aca="false">IF(B1254="","",IFERROR(INDEX(Configurações!$B$7:$B$30,MATCH(B1254,Configurações!$A$7:$A$30,0)),"?"))</f>
        <v/>
      </c>
      <c r="G1254" s="25" t="str">
        <f aca="false">IF(A1254="","",A1254-WEEKDAY(A1254,2)+1)</f>
        <v/>
      </c>
      <c r="H1254" s="26" t="str">
        <f aca="false">IF(A1254="","",DATE(YEAR(A1254),MONTH(A1254),1))</f>
        <v/>
      </c>
    </row>
    <row r="1255" customFormat="false" ht="15" hidden="false" customHeight="false" outlineLevel="0" collapsed="false">
      <c r="A1255" s="22"/>
      <c r="B1255" s="23"/>
      <c r="C1255" s="23"/>
      <c r="D1255" s="24"/>
      <c r="E1255" s="23"/>
      <c r="F1255" s="15" t="str">
        <f aca="false">IF(B1255="","",IFERROR(INDEX(Configurações!$B$7:$B$30,MATCH(B1255,Configurações!$A$7:$A$30,0)),"?"))</f>
        <v/>
      </c>
      <c r="G1255" s="25" t="str">
        <f aca="false">IF(A1255="","",A1255-WEEKDAY(A1255,2)+1)</f>
        <v/>
      </c>
      <c r="H1255" s="26" t="str">
        <f aca="false">IF(A1255="","",DATE(YEAR(A1255),MONTH(A1255),1))</f>
        <v/>
      </c>
    </row>
    <row r="1256" customFormat="false" ht="15" hidden="false" customHeight="false" outlineLevel="0" collapsed="false">
      <c r="A1256" s="22"/>
      <c r="B1256" s="23"/>
      <c r="C1256" s="23"/>
      <c r="D1256" s="24"/>
      <c r="E1256" s="23"/>
      <c r="F1256" s="15" t="str">
        <f aca="false">IF(B1256="","",IFERROR(INDEX(Configurações!$B$7:$B$30,MATCH(B1256,Configurações!$A$7:$A$30,0)),"?"))</f>
        <v/>
      </c>
      <c r="G1256" s="25" t="str">
        <f aca="false">IF(A1256="","",A1256-WEEKDAY(A1256,2)+1)</f>
        <v/>
      </c>
      <c r="H1256" s="26" t="str">
        <f aca="false">IF(A1256="","",DATE(YEAR(A1256),MONTH(A1256),1))</f>
        <v/>
      </c>
    </row>
    <row r="1257" customFormat="false" ht="15" hidden="false" customHeight="false" outlineLevel="0" collapsed="false">
      <c r="A1257" s="22"/>
      <c r="B1257" s="23"/>
      <c r="C1257" s="23"/>
      <c r="D1257" s="24"/>
      <c r="E1257" s="23"/>
      <c r="F1257" s="15" t="str">
        <f aca="false">IF(B1257="","",IFERROR(INDEX(Configurações!$B$7:$B$30,MATCH(B1257,Configurações!$A$7:$A$30,0)),"?"))</f>
        <v/>
      </c>
      <c r="G1257" s="25" t="str">
        <f aca="false">IF(A1257="","",A1257-WEEKDAY(A1257,2)+1)</f>
        <v/>
      </c>
      <c r="H1257" s="26" t="str">
        <f aca="false">IF(A1257="","",DATE(YEAR(A1257),MONTH(A1257),1))</f>
        <v/>
      </c>
    </row>
    <row r="1258" customFormat="false" ht="15" hidden="false" customHeight="false" outlineLevel="0" collapsed="false">
      <c r="A1258" s="22"/>
      <c r="B1258" s="23"/>
      <c r="C1258" s="23"/>
      <c r="D1258" s="24"/>
      <c r="E1258" s="23"/>
      <c r="F1258" s="15" t="str">
        <f aca="false">IF(B1258="","",IFERROR(INDEX(Configurações!$B$7:$B$30,MATCH(B1258,Configurações!$A$7:$A$30,0)),"?"))</f>
        <v/>
      </c>
      <c r="G1258" s="25" t="str">
        <f aca="false">IF(A1258="","",A1258-WEEKDAY(A1258,2)+1)</f>
        <v/>
      </c>
      <c r="H1258" s="26" t="str">
        <f aca="false">IF(A1258="","",DATE(YEAR(A1258),MONTH(A1258),1))</f>
        <v/>
      </c>
    </row>
    <row r="1259" customFormat="false" ht="15" hidden="false" customHeight="false" outlineLevel="0" collapsed="false">
      <c r="A1259" s="22"/>
      <c r="B1259" s="23"/>
      <c r="C1259" s="23"/>
      <c r="D1259" s="24"/>
      <c r="E1259" s="23"/>
      <c r="F1259" s="15" t="str">
        <f aca="false">IF(B1259="","",IFERROR(INDEX(Configurações!$B$7:$B$30,MATCH(B1259,Configurações!$A$7:$A$30,0)),"?"))</f>
        <v/>
      </c>
      <c r="G1259" s="25" t="str">
        <f aca="false">IF(A1259="","",A1259-WEEKDAY(A1259,2)+1)</f>
        <v/>
      </c>
      <c r="H1259" s="26" t="str">
        <f aca="false">IF(A1259="","",DATE(YEAR(A1259),MONTH(A1259),1))</f>
        <v/>
      </c>
    </row>
    <row r="1260" customFormat="false" ht="15" hidden="false" customHeight="false" outlineLevel="0" collapsed="false">
      <c r="A1260" s="22"/>
      <c r="B1260" s="23"/>
      <c r="C1260" s="23"/>
      <c r="D1260" s="24"/>
      <c r="E1260" s="23"/>
      <c r="F1260" s="15" t="str">
        <f aca="false">IF(B1260="","",IFERROR(INDEX(Configurações!$B$7:$B$30,MATCH(B1260,Configurações!$A$7:$A$30,0)),"?"))</f>
        <v/>
      </c>
      <c r="G1260" s="25" t="str">
        <f aca="false">IF(A1260="","",A1260-WEEKDAY(A1260,2)+1)</f>
        <v/>
      </c>
      <c r="H1260" s="26" t="str">
        <f aca="false">IF(A1260="","",DATE(YEAR(A1260),MONTH(A1260),1))</f>
        <v/>
      </c>
    </row>
    <row r="1261" customFormat="false" ht="15" hidden="false" customHeight="false" outlineLevel="0" collapsed="false">
      <c r="A1261" s="22"/>
      <c r="B1261" s="23"/>
      <c r="C1261" s="23"/>
      <c r="D1261" s="24"/>
      <c r="E1261" s="23"/>
      <c r="F1261" s="15" t="str">
        <f aca="false">IF(B1261="","",IFERROR(INDEX(Configurações!$B$7:$B$30,MATCH(B1261,Configurações!$A$7:$A$30,0)),"?"))</f>
        <v/>
      </c>
      <c r="G1261" s="25" t="str">
        <f aca="false">IF(A1261="","",A1261-WEEKDAY(A1261,2)+1)</f>
        <v/>
      </c>
      <c r="H1261" s="26" t="str">
        <f aca="false">IF(A1261="","",DATE(YEAR(A1261),MONTH(A1261),1))</f>
        <v/>
      </c>
    </row>
    <row r="1262" customFormat="false" ht="15" hidden="false" customHeight="false" outlineLevel="0" collapsed="false">
      <c r="A1262" s="22"/>
      <c r="B1262" s="23"/>
      <c r="C1262" s="23"/>
      <c r="D1262" s="24"/>
      <c r="E1262" s="23"/>
      <c r="F1262" s="15" t="str">
        <f aca="false">IF(B1262="","",IFERROR(INDEX(Configurações!$B$7:$B$30,MATCH(B1262,Configurações!$A$7:$A$30,0)),"?"))</f>
        <v/>
      </c>
      <c r="G1262" s="25" t="str">
        <f aca="false">IF(A1262="","",A1262-WEEKDAY(A1262,2)+1)</f>
        <v/>
      </c>
      <c r="H1262" s="26" t="str">
        <f aca="false">IF(A1262="","",DATE(YEAR(A1262),MONTH(A1262),1))</f>
        <v/>
      </c>
    </row>
    <row r="1263" customFormat="false" ht="15" hidden="false" customHeight="false" outlineLevel="0" collapsed="false">
      <c r="A1263" s="22"/>
      <c r="B1263" s="23"/>
      <c r="C1263" s="23"/>
      <c r="D1263" s="24"/>
      <c r="E1263" s="23"/>
      <c r="F1263" s="15" t="str">
        <f aca="false">IF(B1263="","",IFERROR(INDEX(Configurações!$B$7:$B$30,MATCH(B1263,Configurações!$A$7:$A$30,0)),"?"))</f>
        <v/>
      </c>
      <c r="G1263" s="25" t="str">
        <f aca="false">IF(A1263="","",A1263-WEEKDAY(A1263,2)+1)</f>
        <v/>
      </c>
      <c r="H1263" s="26" t="str">
        <f aca="false">IF(A1263="","",DATE(YEAR(A1263),MONTH(A1263),1))</f>
        <v/>
      </c>
    </row>
    <row r="1264" customFormat="false" ht="15" hidden="false" customHeight="false" outlineLevel="0" collapsed="false">
      <c r="A1264" s="22"/>
      <c r="B1264" s="23"/>
      <c r="C1264" s="23"/>
      <c r="D1264" s="24"/>
      <c r="E1264" s="23"/>
      <c r="F1264" s="15" t="str">
        <f aca="false">IF(B1264="","",IFERROR(INDEX(Configurações!$B$7:$B$30,MATCH(B1264,Configurações!$A$7:$A$30,0)),"?"))</f>
        <v/>
      </c>
      <c r="G1264" s="25" t="str">
        <f aca="false">IF(A1264="","",A1264-WEEKDAY(A1264,2)+1)</f>
        <v/>
      </c>
      <c r="H1264" s="26" t="str">
        <f aca="false">IF(A1264="","",DATE(YEAR(A1264),MONTH(A1264),1))</f>
        <v/>
      </c>
    </row>
    <row r="1265" customFormat="false" ht="15" hidden="false" customHeight="false" outlineLevel="0" collapsed="false">
      <c r="A1265" s="22"/>
      <c r="B1265" s="23"/>
      <c r="C1265" s="23"/>
      <c r="D1265" s="24"/>
      <c r="E1265" s="23"/>
      <c r="F1265" s="15" t="str">
        <f aca="false">IF(B1265="","",IFERROR(INDEX(Configurações!$B$7:$B$30,MATCH(B1265,Configurações!$A$7:$A$30,0)),"?"))</f>
        <v/>
      </c>
      <c r="G1265" s="25" t="str">
        <f aca="false">IF(A1265="","",A1265-WEEKDAY(A1265,2)+1)</f>
        <v/>
      </c>
      <c r="H1265" s="26" t="str">
        <f aca="false">IF(A1265="","",DATE(YEAR(A1265),MONTH(A1265),1))</f>
        <v/>
      </c>
    </row>
    <row r="1266" customFormat="false" ht="15" hidden="false" customHeight="false" outlineLevel="0" collapsed="false">
      <c r="A1266" s="22"/>
      <c r="B1266" s="23"/>
      <c r="C1266" s="23"/>
      <c r="D1266" s="24"/>
      <c r="E1266" s="23"/>
      <c r="F1266" s="15" t="str">
        <f aca="false">IF(B1266="","",IFERROR(INDEX(Configurações!$B$7:$B$30,MATCH(B1266,Configurações!$A$7:$A$30,0)),"?"))</f>
        <v/>
      </c>
      <c r="G1266" s="25" t="str">
        <f aca="false">IF(A1266="","",A1266-WEEKDAY(A1266,2)+1)</f>
        <v/>
      </c>
      <c r="H1266" s="26" t="str">
        <f aca="false">IF(A1266="","",DATE(YEAR(A1266),MONTH(A1266),1))</f>
        <v/>
      </c>
    </row>
    <row r="1267" customFormat="false" ht="15" hidden="false" customHeight="false" outlineLevel="0" collapsed="false">
      <c r="A1267" s="22"/>
      <c r="B1267" s="23"/>
      <c r="C1267" s="23"/>
      <c r="D1267" s="24"/>
      <c r="E1267" s="23"/>
      <c r="F1267" s="15" t="str">
        <f aca="false">IF(B1267="","",IFERROR(INDEX(Configurações!$B$7:$B$30,MATCH(B1267,Configurações!$A$7:$A$30,0)),"?"))</f>
        <v/>
      </c>
      <c r="G1267" s="25" t="str">
        <f aca="false">IF(A1267="","",A1267-WEEKDAY(A1267,2)+1)</f>
        <v/>
      </c>
      <c r="H1267" s="26" t="str">
        <f aca="false">IF(A1267="","",DATE(YEAR(A1267),MONTH(A1267),1))</f>
        <v/>
      </c>
    </row>
    <row r="1268" customFormat="false" ht="15" hidden="false" customHeight="false" outlineLevel="0" collapsed="false">
      <c r="A1268" s="22"/>
      <c r="B1268" s="23"/>
      <c r="C1268" s="23"/>
      <c r="D1268" s="24"/>
      <c r="E1268" s="23"/>
      <c r="F1268" s="15" t="str">
        <f aca="false">IF(B1268="","",IFERROR(INDEX(Configurações!$B$7:$B$30,MATCH(B1268,Configurações!$A$7:$A$30,0)),"?"))</f>
        <v/>
      </c>
      <c r="G1268" s="25" t="str">
        <f aca="false">IF(A1268="","",A1268-WEEKDAY(A1268,2)+1)</f>
        <v/>
      </c>
      <c r="H1268" s="26" t="str">
        <f aca="false">IF(A1268="","",DATE(YEAR(A1268),MONTH(A1268),1))</f>
        <v/>
      </c>
    </row>
    <row r="1269" customFormat="false" ht="15" hidden="false" customHeight="false" outlineLevel="0" collapsed="false">
      <c r="A1269" s="22"/>
      <c r="B1269" s="23"/>
      <c r="C1269" s="23"/>
      <c r="D1269" s="24"/>
      <c r="E1269" s="23"/>
      <c r="F1269" s="15" t="str">
        <f aca="false">IF(B1269="","",IFERROR(INDEX(Configurações!$B$7:$B$30,MATCH(B1269,Configurações!$A$7:$A$30,0)),"?"))</f>
        <v/>
      </c>
      <c r="G1269" s="25" t="str">
        <f aca="false">IF(A1269="","",A1269-WEEKDAY(A1269,2)+1)</f>
        <v/>
      </c>
      <c r="H1269" s="26" t="str">
        <f aca="false">IF(A1269="","",DATE(YEAR(A1269),MONTH(A1269),1))</f>
        <v/>
      </c>
    </row>
    <row r="1270" customFormat="false" ht="15" hidden="false" customHeight="false" outlineLevel="0" collapsed="false">
      <c r="A1270" s="22"/>
      <c r="B1270" s="23"/>
      <c r="C1270" s="23"/>
      <c r="D1270" s="24"/>
      <c r="E1270" s="23"/>
      <c r="F1270" s="15" t="str">
        <f aca="false">IF(B1270="","",IFERROR(INDEX(Configurações!$B$7:$B$30,MATCH(B1270,Configurações!$A$7:$A$30,0)),"?"))</f>
        <v/>
      </c>
      <c r="G1270" s="25" t="str">
        <f aca="false">IF(A1270="","",A1270-WEEKDAY(A1270,2)+1)</f>
        <v/>
      </c>
      <c r="H1270" s="26" t="str">
        <f aca="false">IF(A1270="","",DATE(YEAR(A1270),MONTH(A1270),1))</f>
        <v/>
      </c>
    </row>
    <row r="1271" customFormat="false" ht="15" hidden="false" customHeight="false" outlineLevel="0" collapsed="false">
      <c r="A1271" s="22"/>
      <c r="B1271" s="23"/>
      <c r="C1271" s="23"/>
      <c r="D1271" s="24"/>
      <c r="E1271" s="23"/>
      <c r="F1271" s="15" t="str">
        <f aca="false">IF(B1271="","",IFERROR(INDEX(Configurações!$B$7:$B$30,MATCH(B1271,Configurações!$A$7:$A$30,0)),"?"))</f>
        <v/>
      </c>
      <c r="G1271" s="25" t="str">
        <f aca="false">IF(A1271="","",A1271-WEEKDAY(A1271,2)+1)</f>
        <v/>
      </c>
      <c r="H1271" s="26" t="str">
        <f aca="false">IF(A1271="","",DATE(YEAR(A1271),MONTH(A1271),1))</f>
        <v/>
      </c>
    </row>
    <row r="1272" customFormat="false" ht="15" hidden="false" customHeight="false" outlineLevel="0" collapsed="false">
      <c r="A1272" s="22"/>
      <c r="B1272" s="23"/>
      <c r="C1272" s="23"/>
      <c r="D1272" s="24"/>
      <c r="E1272" s="23"/>
      <c r="F1272" s="15" t="str">
        <f aca="false">IF(B1272="","",IFERROR(INDEX(Configurações!$B$7:$B$30,MATCH(B1272,Configurações!$A$7:$A$30,0)),"?"))</f>
        <v/>
      </c>
      <c r="G1272" s="25" t="str">
        <f aca="false">IF(A1272="","",A1272-WEEKDAY(A1272,2)+1)</f>
        <v/>
      </c>
      <c r="H1272" s="26" t="str">
        <f aca="false">IF(A1272="","",DATE(YEAR(A1272),MONTH(A1272),1))</f>
        <v/>
      </c>
    </row>
    <row r="1273" customFormat="false" ht="15" hidden="false" customHeight="false" outlineLevel="0" collapsed="false">
      <c r="A1273" s="22"/>
      <c r="B1273" s="23"/>
      <c r="C1273" s="23"/>
      <c r="D1273" s="24"/>
      <c r="E1273" s="23"/>
      <c r="F1273" s="15" t="str">
        <f aca="false">IF(B1273="","",IFERROR(INDEX(Configurações!$B$7:$B$30,MATCH(B1273,Configurações!$A$7:$A$30,0)),"?"))</f>
        <v/>
      </c>
      <c r="G1273" s="25" t="str">
        <f aca="false">IF(A1273="","",A1273-WEEKDAY(A1273,2)+1)</f>
        <v/>
      </c>
      <c r="H1273" s="26" t="str">
        <f aca="false">IF(A1273="","",DATE(YEAR(A1273),MONTH(A1273),1))</f>
        <v/>
      </c>
    </row>
    <row r="1274" customFormat="false" ht="15" hidden="false" customHeight="false" outlineLevel="0" collapsed="false">
      <c r="A1274" s="22"/>
      <c r="B1274" s="23"/>
      <c r="C1274" s="23"/>
      <c r="D1274" s="24"/>
      <c r="E1274" s="23"/>
      <c r="F1274" s="15" t="str">
        <f aca="false">IF(B1274="","",IFERROR(INDEX(Configurações!$B$7:$B$30,MATCH(B1274,Configurações!$A$7:$A$30,0)),"?"))</f>
        <v/>
      </c>
      <c r="G1274" s="25" t="str">
        <f aca="false">IF(A1274="","",A1274-WEEKDAY(A1274,2)+1)</f>
        <v/>
      </c>
      <c r="H1274" s="26" t="str">
        <f aca="false">IF(A1274="","",DATE(YEAR(A1274),MONTH(A1274),1))</f>
        <v/>
      </c>
    </row>
    <row r="1275" customFormat="false" ht="15" hidden="false" customHeight="false" outlineLevel="0" collapsed="false">
      <c r="A1275" s="22"/>
      <c r="B1275" s="23"/>
      <c r="C1275" s="23"/>
      <c r="D1275" s="24"/>
      <c r="E1275" s="23"/>
      <c r="F1275" s="15" t="str">
        <f aca="false">IF(B1275="","",IFERROR(INDEX(Configurações!$B$7:$B$30,MATCH(B1275,Configurações!$A$7:$A$30,0)),"?"))</f>
        <v/>
      </c>
      <c r="G1275" s="25" t="str">
        <f aca="false">IF(A1275="","",A1275-WEEKDAY(A1275,2)+1)</f>
        <v/>
      </c>
      <c r="H1275" s="26" t="str">
        <f aca="false">IF(A1275="","",DATE(YEAR(A1275),MONTH(A1275),1))</f>
        <v/>
      </c>
    </row>
    <row r="1276" customFormat="false" ht="15" hidden="false" customHeight="false" outlineLevel="0" collapsed="false">
      <c r="A1276" s="22"/>
      <c r="B1276" s="23"/>
      <c r="C1276" s="23"/>
      <c r="D1276" s="24"/>
      <c r="E1276" s="23"/>
      <c r="F1276" s="15" t="str">
        <f aca="false">IF(B1276="","",IFERROR(INDEX(Configurações!$B$7:$B$30,MATCH(B1276,Configurações!$A$7:$A$30,0)),"?"))</f>
        <v/>
      </c>
      <c r="G1276" s="25" t="str">
        <f aca="false">IF(A1276="","",A1276-WEEKDAY(A1276,2)+1)</f>
        <v/>
      </c>
      <c r="H1276" s="26" t="str">
        <f aca="false">IF(A1276="","",DATE(YEAR(A1276),MONTH(A1276),1))</f>
        <v/>
      </c>
    </row>
    <row r="1277" customFormat="false" ht="15" hidden="false" customHeight="false" outlineLevel="0" collapsed="false">
      <c r="A1277" s="22"/>
      <c r="B1277" s="23"/>
      <c r="C1277" s="23"/>
      <c r="D1277" s="24"/>
      <c r="E1277" s="23"/>
      <c r="F1277" s="15" t="str">
        <f aca="false">IF(B1277="","",IFERROR(INDEX(Configurações!$B$7:$B$30,MATCH(B1277,Configurações!$A$7:$A$30,0)),"?"))</f>
        <v/>
      </c>
      <c r="G1277" s="25" t="str">
        <f aca="false">IF(A1277="","",A1277-WEEKDAY(A1277,2)+1)</f>
        <v/>
      </c>
      <c r="H1277" s="26" t="str">
        <f aca="false">IF(A1277="","",DATE(YEAR(A1277),MONTH(A1277),1))</f>
        <v/>
      </c>
    </row>
    <row r="1278" customFormat="false" ht="15" hidden="false" customHeight="false" outlineLevel="0" collapsed="false">
      <c r="A1278" s="22"/>
      <c r="B1278" s="23"/>
      <c r="C1278" s="23"/>
      <c r="D1278" s="24"/>
      <c r="E1278" s="23"/>
      <c r="F1278" s="15" t="str">
        <f aca="false">IF(B1278="","",IFERROR(INDEX(Configurações!$B$7:$B$30,MATCH(B1278,Configurações!$A$7:$A$30,0)),"?"))</f>
        <v/>
      </c>
      <c r="G1278" s="25" t="str">
        <f aca="false">IF(A1278="","",A1278-WEEKDAY(A1278,2)+1)</f>
        <v/>
      </c>
      <c r="H1278" s="26" t="str">
        <f aca="false">IF(A1278="","",DATE(YEAR(A1278),MONTH(A1278),1))</f>
        <v/>
      </c>
    </row>
    <row r="1279" customFormat="false" ht="15" hidden="false" customHeight="false" outlineLevel="0" collapsed="false">
      <c r="A1279" s="22"/>
      <c r="B1279" s="23"/>
      <c r="C1279" s="23"/>
      <c r="D1279" s="24"/>
      <c r="E1279" s="23"/>
      <c r="F1279" s="15" t="str">
        <f aca="false">IF(B1279="","",IFERROR(INDEX(Configurações!$B$7:$B$30,MATCH(B1279,Configurações!$A$7:$A$30,0)),"?"))</f>
        <v/>
      </c>
      <c r="G1279" s="25" t="str">
        <f aca="false">IF(A1279="","",A1279-WEEKDAY(A1279,2)+1)</f>
        <v/>
      </c>
      <c r="H1279" s="26" t="str">
        <f aca="false">IF(A1279="","",DATE(YEAR(A1279),MONTH(A1279),1))</f>
        <v/>
      </c>
    </row>
    <row r="1280" customFormat="false" ht="15" hidden="false" customHeight="false" outlineLevel="0" collapsed="false">
      <c r="A1280" s="22"/>
      <c r="B1280" s="23"/>
      <c r="C1280" s="23"/>
      <c r="D1280" s="24"/>
      <c r="E1280" s="23"/>
      <c r="F1280" s="15" t="str">
        <f aca="false">IF(B1280="","",IFERROR(INDEX(Configurações!$B$7:$B$30,MATCH(B1280,Configurações!$A$7:$A$30,0)),"?"))</f>
        <v/>
      </c>
      <c r="G1280" s="25" t="str">
        <f aca="false">IF(A1280="","",A1280-WEEKDAY(A1280,2)+1)</f>
        <v/>
      </c>
      <c r="H1280" s="26" t="str">
        <f aca="false">IF(A1280="","",DATE(YEAR(A1280),MONTH(A1280),1))</f>
        <v/>
      </c>
    </row>
    <row r="1281" customFormat="false" ht="15" hidden="false" customHeight="false" outlineLevel="0" collapsed="false">
      <c r="A1281" s="22"/>
      <c r="B1281" s="23"/>
      <c r="C1281" s="23"/>
      <c r="D1281" s="24"/>
      <c r="E1281" s="23"/>
      <c r="F1281" s="15" t="str">
        <f aca="false">IF(B1281="","",IFERROR(INDEX(Configurações!$B$7:$B$30,MATCH(B1281,Configurações!$A$7:$A$30,0)),"?"))</f>
        <v/>
      </c>
      <c r="G1281" s="25" t="str">
        <f aca="false">IF(A1281="","",A1281-WEEKDAY(A1281,2)+1)</f>
        <v/>
      </c>
      <c r="H1281" s="26" t="str">
        <f aca="false">IF(A1281="","",DATE(YEAR(A1281),MONTH(A1281),1))</f>
        <v/>
      </c>
    </row>
    <row r="1282" customFormat="false" ht="15" hidden="false" customHeight="false" outlineLevel="0" collapsed="false">
      <c r="A1282" s="22"/>
      <c r="B1282" s="23"/>
      <c r="C1282" s="23"/>
      <c r="D1282" s="24"/>
      <c r="E1282" s="23"/>
      <c r="F1282" s="15" t="str">
        <f aca="false">IF(B1282="","",IFERROR(INDEX(Configurações!$B$7:$B$30,MATCH(B1282,Configurações!$A$7:$A$30,0)),"?"))</f>
        <v/>
      </c>
      <c r="G1282" s="25" t="str">
        <f aca="false">IF(A1282="","",A1282-WEEKDAY(A1282,2)+1)</f>
        <v/>
      </c>
      <c r="H1282" s="26" t="str">
        <f aca="false">IF(A1282="","",DATE(YEAR(A1282),MONTH(A1282),1))</f>
        <v/>
      </c>
    </row>
    <row r="1283" customFormat="false" ht="15" hidden="false" customHeight="false" outlineLevel="0" collapsed="false">
      <c r="A1283" s="22"/>
      <c r="B1283" s="23"/>
      <c r="C1283" s="23"/>
      <c r="D1283" s="24"/>
      <c r="E1283" s="23"/>
      <c r="F1283" s="15" t="str">
        <f aca="false">IF(B1283="","",IFERROR(INDEX(Configurações!$B$7:$B$30,MATCH(B1283,Configurações!$A$7:$A$30,0)),"?"))</f>
        <v/>
      </c>
      <c r="G1283" s="25" t="str">
        <f aca="false">IF(A1283="","",A1283-WEEKDAY(A1283,2)+1)</f>
        <v/>
      </c>
      <c r="H1283" s="26" t="str">
        <f aca="false">IF(A1283="","",DATE(YEAR(A1283),MONTH(A1283),1))</f>
        <v/>
      </c>
    </row>
    <row r="1284" customFormat="false" ht="15" hidden="false" customHeight="false" outlineLevel="0" collapsed="false">
      <c r="A1284" s="22"/>
      <c r="B1284" s="23"/>
      <c r="C1284" s="23"/>
      <c r="D1284" s="24"/>
      <c r="E1284" s="23"/>
      <c r="F1284" s="15" t="str">
        <f aca="false">IF(B1284="","",IFERROR(INDEX(Configurações!$B$7:$B$30,MATCH(B1284,Configurações!$A$7:$A$30,0)),"?"))</f>
        <v/>
      </c>
      <c r="G1284" s="25" t="str">
        <f aca="false">IF(A1284="","",A1284-WEEKDAY(A1284,2)+1)</f>
        <v/>
      </c>
      <c r="H1284" s="26" t="str">
        <f aca="false">IF(A1284="","",DATE(YEAR(A1284),MONTH(A1284),1))</f>
        <v/>
      </c>
    </row>
    <row r="1285" customFormat="false" ht="15" hidden="false" customHeight="false" outlineLevel="0" collapsed="false">
      <c r="A1285" s="22"/>
      <c r="B1285" s="23"/>
      <c r="C1285" s="23"/>
      <c r="D1285" s="24"/>
      <c r="E1285" s="23"/>
      <c r="F1285" s="15" t="str">
        <f aca="false">IF(B1285="","",IFERROR(INDEX(Configurações!$B$7:$B$30,MATCH(B1285,Configurações!$A$7:$A$30,0)),"?"))</f>
        <v/>
      </c>
      <c r="G1285" s="25" t="str">
        <f aca="false">IF(A1285="","",A1285-WEEKDAY(A1285,2)+1)</f>
        <v/>
      </c>
      <c r="H1285" s="26" t="str">
        <f aca="false">IF(A1285="","",DATE(YEAR(A1285),MONTH(A1285),1))</f>
        <v/>
      </c>
    </row>
    <row r="1286" customFormat="false" ht="15" hidden="false" customHeight="false" outlineLevel="0" collapsed="false">
      <c r="A1286" s="22"/>
      <c r="B1286" s="23"/>
      <c r="C1286" s="23"/>
      <c r="D1286" s="24"/>
      <c r="E1286" s="23"/>
      <c r="F1286" s="15" t="str">
        <f aca="false">IF(B1286="","",IFERROR(INDEX(Configurações!$B$7:$B$30,MATCH(B1286,Configurações!$A$7:$A$30,0)),"?"))</f>
        <v/>
      </c>
      <c r="G1286" s="25" t="str">
        <f aca="false">IF(A1286="","",A1286-WEEKDAY(A1286,2)+1)</f>
        <v/>
      </c>
      <c r="H1286" s="26" t="str">
        <f aca="false">IF(A1286="","",DATE(YEAR(A1286),MONTH(A1286),1))</f>
        <v/>
      </c>
    </row>
    <row r="1287" customFormat="false" ht="15" hidden="false" customHeight="false" outlineLevel="0" collapsed="false">
      <c r="A1287" s="22"/>
      <c r="B1287" s="23"/>
      <c r="C1287" s="23"/>
      <c r="D1287" s="24"/>
      <c r="E1287" s="23"/>
      <c r="F1287" s="15" t="str">
        <f aca="false">IF(B1287="","",IFERROR(INDEX(Configurações!$B$7:$B$30,MATCH(B1287,Configurações!$A$7:$A$30,0)),"?"))</f>
        <v/>
      </c>
      <c r="G1287" s="25" t="str">
        <f aca="false">IF(A1287="","",A1287-WEEKDAY(A1287,2)+1)</f>
        <v/>
      </c>
      <c r="H1287" s="26" t="str">
        <f aca="false">IF(A1287="","",DATE(YEAR(A1287),MONTH(A1287),1))</f>
        <v/>
      </c>
    </row>
    <row r="1288" customFormat="false" ht="15" hidden="false" customHeight="false" outlineLevel="0" collapsed="false">
      <c r="A1288" s="22"/>
      <c r="B1288" s="23"/>
      <c r="C1288" s="23"/>
      <c r="D1288" s="24"/>
      <c r="E1288" s="23"/>
      <c r="F1288" s="15" t="str">
        <f aca="false">IF(B1288="","",IFERROR(INDEX(Configurações!$B$7:$B$30,MATCH(B1288,Configurações!$A$7:$A$30,0)),"?"))</f>
        <v/>
      </c>
      <c r="G1288" s="25" t="str">
        <f aca="false">IF(A1288="","",A1288-WEEKDAY(A1288,2)+1)</f>
        <v/>
      </c>
      <c r="H1288" s="26" t="str">
        <f aca="false">IF(A1288="","",DATE(YEAR(A1288),MONTH(A1288),1))</f>
        <v/>
      </c>
    </row>
    <row r="1289" customFormat="false" ht="15" hidden="false" customHeight="false" outlineLevel="0" collapsed="false">
      <c r="A1289" s="22"/>
      <c r="B1289" s="23"/>
      <c r="C1289" s="23"/>
      <c r="D1289" s="24"/>
      <c r="E1289" s="23"/>
      <c r="F1289" s="15" t="str">
        <f aca="false">IF(B1289="","",IFERROR(INDEX(Configurações!$B$7:$B$30,MATCH(B1289,Configurações!$A$7:$A$30,0)),"?"))</f>
        <v/>
      </c>
      <c r="G1289" s="25" t="str">
        <f aca="false">IF(A1289="","",A1289-WEEKDAY(A1289,2)+1)</f>
        <v/>
      </c>
      <c r="H1289" s="26" t="str">
        <f aca="false">IF(A1289="","",DATE(YEAR(A1289),MONTH(A1289),1))</f>
        <v/>
      </c>
    </row>
    <row r="1290" customFormat="false" ht="15" hidden="false" customHeight="false" outlineLevel="0" collapsed="false">
      <c r="A1290" s="22"/>
      <c r="B1290" s="23"/>
      <c r="C1290" s="23"/>
      <c r="D1290" s="24"/>
      <c r="E1290" s="23"/>
      <c r="F1290" s="15" t="str">
        <f aca="false">IF(B1290="","",IFERROR(INDEX(Configurações!$B$7:$B$30,MATCH(B1290,Configurações!$A$7:$A$30,0)),"?"))</f>
        <v/>
      </c>
      <c r="G1290" s="25" t="str">
        <f aca="false">IF(A1290="","",A1290-WEEKDAY(A1290,2)+1)</f>
        <v/>
      </c>
      <c r="H1290" s="26" t="str">
        <f aca="false">IF(A1290="","",DATE(YEAR(A1290),MONTH(A1290),1))</f>
        <v/>
      </c>
    </row>
    <row r="1291" customFormat="false" ht="15" hidden="false" customHeight="false" outlineLevel="0" collapsed="false">
      <c r="A1291" s="22"/>
      <c r="B1291" s="23"/>
      <c r="C1291" s="23"/>
      <c r="D1291" s="24"/>
      <c r="E1291" s="23"/>
      <c r="F1291" s="15" t="str">
        <f aca="false">IF(B1291="","",IFERROR(INDEX(Configurações!$B$7:$B$30,MATCH(B1291,Configurações!$A$7:$A$30,0)),"?"))</f>
        <v/>
      </c>
      <c r="G1291" s="25" t="str">
        <f aca="false">IF(A1291="","",A1291-WEEKDAY(A1291,2)+1)</f>
        <v/>
      </c>
      <c r="H1291" s="26" t="str">
        <f aca="false">IF(A1291="","",DATE(YEAR(A1291),MONTH(A1291),1))</f>
        <v/>
      </c>
    </row>
    <row r="1292" customFormat="false" ht="15" hidden="false" customHeight="false" outlineLevel="0" collapsed="false">
      <c r="A1292" s="22"/>
      <c r="B1292" s="23"/>
      <c r="C1292" s="23"/>
      <c r="D1292" s="24"/>
      <c r="E1292" s="23"/>
      <c r="F1292" s="15" t="str">
        <f aca="false">IF(B1292="","",IFERROR(INDEX(Configurações!$B$7:$B$30,MATCH(B1292,Configurações!$A$7:$A$30,0)),"?"))</f>
        <v/>
      </c>
      <c r="G1292" s="25" t="str">
        <f aca="false">IF(A1292="","",A1292-WEEKDAY(A1292,2)+1)</f>
        <v/>
      </c>
      <c r="H1292" s="26" t="str">
        <f aca="false">IF(A1292="","",DATE(YEAR(A1292),MONTH(A1292),1))</f>
        <v/>
      </c>
    </row>
    <row r="1293" customFormat="false" ht="15" hidden="false" customHeight="false" outlineLevel="0" collapsed="false">
      <c r="A1293" s="22"/>
      <c r="B1293" s="23"/>
      <c r="C1293" s="23"/>
      <c r="D1293" s="24"/>
      <c r="E1293" s="23"/>
      <c r="F1293" s="15" t="str">
        <f aca="false">IF(B1293="","",IFERROR(INDEX(Configurações!$B$7:$B$30,MATCH(B1293,Configurações!$A$7:$A$30,0)),"?"))</f>
        <v/>
      </c>
      <c r="G1293" s="25" t="str">
        <f aca="false">IF(A1293="","",A1293-WEEKDAY(A1293,2)+1)</f>
        <v/>
      </c>
      <c r="H1293" s="26" t="str">
        <f aca="false">IF(A1293="","",DATE(YEAR(A1293),MONTH(A1293),1))</f>
        <v/>
      </c>
    </row>
    <row r="1294" customFormat="false" ht="15" hidden="false" customHeight="false" outlineLevel="0" collapsed="false">
      <c r="A1294" s="22"/>
      <c r="B1294" s="23"/>
      <c r="C1294" s="23"/>
      <c r="D1294" s="24"/>
      <c r="E1294" s="23"/>
      <c r="F1294" s="15" t="str">
        <f aca="false">IF(B1294="","",IFERROR(INDEX(Configurações!$B$7:$B$30,MATCH(B1294,Configurações!$A$7:$A$30,0)),"?"))</f>
        <v/>
      </c>
      <c r="G1294" s="25" t="str">
        <f aca="false">IF(A1294="","",A1294-WEEKDAY(A1294,2)+1)</f>
        <v/>
      </c>
      <c r="H1294" s="26" t="str">
        <f aca="false">IF(A1294="","",DATE(YEAR(A1294),MONTH(A1294),1))</f>
        <v/>
      </c>
    </row>
    <row r="1295" customFormat="false" ht="15" hidden="false" customHeight="false" outlineLevel="0" collapsed="false">
      <c r="A1295" s="22"/>
      <c r="B1295" s="23"/>
      <c r="C1295" s="23"/>
      <c r="D1295" s="24"/>
      <c r="E1295" s="23"/>
      <c r="F1295" s="15" t="str">
        <f aca="false">IF(B1295="","",IFERROR(INDEX(Configurações!$B$7:$B$30,MATCH(B1295,Configurações!$A$7:$A$30,0)),"?"))</f>
        <v/>
      </c>
      <c r="G1295" s="25" t="str">
        <f aca="false">IF(A1295="","",A1295-WEEKDAY(A1295,2)+1)</f>
        <v/>
      </c>
      <c r="H1295" s="26" t="str">
        <f aca="false">IF(A1295="","",DATE(YEAR(A1295),MONTH(A1295),1))</f>
        <v/>
      </c>
    </row>
    <row r="1296" customFormat="false" ht="15" hidden="false" customHeight="false" outlineLevel="0" collapsed="false">
      <c r="A1296" s="22"/>
      <c r="B1296" s="23"/>
      <c r="C1296" s="23"/>
      <c r="D1296" s="24"/>
      <c r="E1296" s="23"/>
      <c r="F1296" s="15" t="str">
        <f aca="false">IF(B1296="","",IFERROR(INDEX(Configurações!$B$7:$B$30,MATCH(B1296,Configurações!$A$7:$A$30,0)),"?"))</f>
        <v/>
      </c>
      <c r="G1296" s="25" t="str">
        <f aca="false">IF(A1296="","",A1296-WEEKDAY(A1296,2)+1)</f>
        <v/>
      </c>
      <c r="H1296" s="26" t="str">
        <f aca="false">IF(A1296="","",DATE(YEAR(A1296),MONTH(A1296),1))</f>
        <v/>
      </c>
    </row>
    <row r="1297" customFormat="false" ht="15" hidden="false" customHeight="false" outlineLevel="0" collapsed="false">
      <c r="A1297" s="22"/>
      <c r="B1297" s="23"/>
      <c r="C1297" s="23"/>
      <c r="D1297" s="24"/>
      <c r="E1297" s="23"/>
      <c r="F1297" s="15" t="str">
        <f aca="false">IF(B1297="","",IFERROR(INDEX(Configurações!$B$7:$B$30,MATCH(B1297,Configurações!$A$7:$A$30,0)),"?"))</f>
        <v/>
      </c>
      <c r="G1297" s="25" t="str">
        <f aca="false">IF(A1297="","",A1297-WEEKDAY(A1297,2)+1)</f>
        <v/>
      </c>
      <c r="H1297" s="26" t="str">
        <f aca="false">IF(A1297="","",DATE(YEAR(A1297),MONTH(A1297),1))</f>
        <v/>
      </c>
    </row>
    <row r="1298" customFormat="false" ht="15" hidden="false" customHeight="false" outlineLevel="0" collapsed="false">
      <c r="A1298" s="22"/>
      <c r="B1298" s="23"/>
      <c r="C1298" s="23"/>
      <c r="D1298" s="24"/>
      <c r="E1298" s="23"/>
      <c r="F1298" s="15" t="str">
        <f aca="false">IF(B1298="","",IFERROR(INDEX(Configurações!$B$7:$B$30,MATCH(B1298,Configurações!$A$7:$A$30,0)),"?"))</f>
        <v/>
      </c>
      <c r="G1298" s="25" t="str">
        <f aca="false">IF(A1298="","",A1298-WEEKDAY(A1298,2)+1)</f>
        <v/>
      </c>
      <c r="H1298" s="26" t="str">
        <f aca="false">IF(A1298="","",DATE(YEAR(A1298),MONTH(A1298),1))</f>
        <v/>
      </c>
    </row>
    <row r="1299" customFormat="false" ht="15" hidden="false" customHeight="false" outlineLevel="0" collapsed="false">
      <c r="A1299" s="22"/>
      <c r="B1299" s="23"/>
      <c r="C1299" s="23"/>
      <c r="D1299" s="24"/>
      <c r="E1299" s="23"/>
      <c r="F1299" s="15" t="str">
        <f aca="false">IF(B1299="","",IFERROR(INDEX(Configurações!$B$7:$B$30,MATCH(B1299,Configurações!$A$7:$A$30,0)),"?"))</f>
        <v/>
      </c>
      <c r="G1299" s="25" t="str">
        <f aca="false">IF(A1299="","",A1299-WEEKDAY(A1299,2)+1)</f>
        <v/>
      </c>
      <c r="H1299" s="26" t="str">
        <f aca="false">IF(A1299="","",DATE(YEAR(A1299),MONTH(A1299),1))</f>
        <v/>
      </c>
    </row>
    <row r="1300" customFormat="false" ht="15" hidden="false" customHeight="false" outlineLevel="0" collapsed="false">
      <c r="A1300" s="22"/>
      <c r="B1300" s="23"/>
      <c r="C1300" s="23"/>
      <c r="D1300" s="24"/>
      <c r="E1300" s="23"/>
      <c r="F1300" s="15" t="str">
        <f aca="false">IF(B1300="","",IFERROR(INDEX(Configurações!$B$7:$B$30,MATCH(B1300,Configurações!$A$7:$A$30,0)),"?"))</f>
        <v/>
      </c>
      <c r="G1300" s="25" t="str">
        <f aca="false">IF(A1300="","",A1300-WEEKDAY(A1300,2)+1)</f>
        <v/>
      </c>
      <c r="H1300" s="26" t="str">
        <f aca="false">IF(A1300="","",DATE(YEAR(A1300),MONTH(A1300),1))</f>
        <v/>
      </c>
    </row>
    <row r="1301" customFormat="false" ht="15" hidden="false" customHeight="false" outlineLevel="0" collapsed="false">
      <c r="A1301" s="22"/>
      <c r="B1301" s="23"/>
      <c r="C1301" s="23"/>
      <c r="D1301" s="24"/>
      <c r="E1301" s="23"/>
      <c r="F1301" s="15" t="str">
        <f aca="false">IF(B1301="","",IFERROR(INDEX(Configurações!$B$7:$B$30,MATCH(B1301,Configurações!$A$7:$A$30,0)),"?"))</f>
        <v/>
      </c>
      <c r="G1301" s="25" t="str">
        <f aca="false">IF(A1301="","",A1301-WEEKDAY(A1301,2)+1)</f>
        <v/>
      </c>
      <c r="H1301" s="26" t="str">
        <f aca="false">IF(A1301="","",DATE(YEAR(A1301),MONTH(A1301),1))</f>
        <v/>
      </c>
    </row>
    <row r="1302" customFormat="false" ht="15" hidden="false" customHeight="false" outlineLevel="0" collapsed="false">
      <c r="A1302" s="22"/>
      <c r="B1302" s="23"/>
      <c r="C1302" s="23"/>
      <c r="D1302" s="24"/>
      <c r="E1302" s="23"/>
      <c r="F1302" s="15" t="str">
        <f aca="false">IF(B1302="","",IFERROR(INDEX(Configurações!$B$7:$B$30,MATCH(B1302,Configurações!$A$7:$A$30,0)),"?"))</f>
        <v/>
      </c>
      <c r="G1302" s="25" t="str">
        <f aca="false">IF(A1302="","",A1302-WEEKDAY(A1302,2)+1)</f>
        <v/>
      </c>
      <c r="H1302" s="26" t="str">
        <f aca="false">IF(A1302="","",DATE(YEAR(A1302),MONTH(A1302),1))</f>
        <v/>
      </c>
    </row>
    <row r="1303" customFormat="false" ht="15" hidden="false" customHeight="false" outlineLevel="0" collapsed="false">
      <c r="A1303" s="22"/>
      <c r="B1303" s="23"/>
      <c r="C1303" s="23"/>
      <c r="D1303" s="24"/>
      <c r="E1303" s="23"/>
      <c r="F1303" s="15" t="str">
        <f aca="false">IF(B1303="","",IFERROR(INDEX(Configurações!$B$7:$B$30,MATCH(B1303,Configurações!$A$7:$A$30,0)),"?"))</f>
        <v/>
      </c>
      <c r="G1303" s="25" t="str">
        <f aca="false">IF(A1303="","",A1303-WEEKDAY(A1303,2)+1)</f>
        <v/>
      </c>
      <c r="H1303" s="26" t="str">
        <f aca="false">IF(A1303="","",DATE(YEAR(A1303),MONTH(A1303),1))</f>
        <v/>
      </c>
    </row>
    <row r="1304" customFormat="false" ht="15" hidden="false" customHeight="false" outlineLevel="0" collapsed="false">
      <c r="A1304" s="22"/>
      <c r="B1304" s="23"/>
      <c r="C1304" s="23"/>
      <c r="D1304" s="24"/>
      <c r="E1304" s="23"/>
      <c r="F1304" s="15" t="str">
        <f aca="false">IF(B1304="","",IFERROR(INDEX(Configurações!$B$7:$B$30,MATCH(B1304,Configurações!$A$7:$A$30,0)),"?"))</f>
        <v/>
      </c>
      <c r="G1304" s="25" t="str">
        <f aca="false">IF(A1304="","",A1304-WEEKDAY(A1304,2)+1)</f>
        <v/>
      </c>
      <c r="H1304" s="26" t="str">
        <f aca="false">IF(A1304="","",DATE(YEAR(A1304),MONTH(A1304),1))</f>
        <v/>
      </c>
    </row>
    <row r="1305" customFormat="false" ht="15" hidden="false" customHeight="false" outlineLevel="0" collapsed="false">
      <c r="A1305" s="22"/>
      <c r="B1305" s="23"/>
      <c r="C1305" s="23"/>
      <c r="D1305" s="24"/>
      <c r="E1305" s="23"/>
      <c r="F1305" s="15" t="str">
        <f aca="false">IF(B1305="","",IFERROR(INDEX(Configurações!$B$7:$B$30,MATCH(B1305,Configurações!$A$7:$A$30,0)),"?"))</f>
        <v/>
      </c>
      <c r="G1305" s="25" t="str">
        <f aca="false">IF(A1305="","",A1305-WEEKDAY(A1305,2)+1)</f>
        <v/>
      </c>
      <c r="H1305" s="26" t="str">
        <f aca="false">IF(A1305="","",DATE(YEAR(A1305),MONTH(A1305),1))</f>
        <v/>
      </c>
    </row>
    <row r="1306" customFormat="false" ht="15" hidden="false" customHeight="false" outlineLevel="0" collapsed="false">
      <c r="A1306" s="22"/>
      <c r="B1306" s="23"/>
      <c r="C1306" s="23"/>
      <c r="D1306" s="24"/>
      <c r="E1306" s="23"/>
      <c r="F1306" s="15" t="str">
        <f aca="false">IF(B1306="","",IFERROR(INDEX(Configurações!$B$7:$B$30,MATCH(B1306,Configurações!$A$7:$A$30,0)),"?"))</f>
        <v/>
      </c>
      <c r="G1306" s="25" t="str">
        <f aca="false">IF(A1306="","",A1306-WEEKDAY(A1306,2)+1)</f>
        <v/>
      </c>
      <c r="H1306" s="26" t="str">
        <f aca="false">IF(A1306="","",DATE(YEAR(A1306),MONTH(A1306),1))</f>
        <v/>
      </c>
    </row>
    <row r="1307" customFormat="false" ht="15" hidden="false" customHeight="false" outlineLevel="0" collapsed="false">
      <c r="A1307" s="22"/>
      <c r="B1307" s="23"/>
      <c r="C1307" s="23"/>
      <c r="D1307" s="24"/>
      <c r="E1307" s="23"/>
      <c r="F1307" s="15" t="str">
        <f aca="false">IF(B1307="","",IFERROR(INDEX(Configurações!$B$7:$B$30,MATCH(B1307,Configurações!$A$7:$A$30,0)),"?"))</f>
        <v/>
      </c>
      <c r="G1307" s="25" t="str">
        <f aca="false">IF(A1307="","",A1307-WEEKDAY(A1307,2)+1)</f>
        <v/>
      </c>
      <c r="H1307" s="26" t="str">
        <f aca="false">IF(A1307="","",DATE(YEAR(A1307),MONTH(A1307),1))</f>
        <v/>
      </c>
    </row>
    <row r="1308" customFormat="false" ht="15" hidden="false" customHeight="false" outlineLevel="0" collapsed="false">
      <c r="A1308" s="22"/>
      <c r="B1308" s="23"/>
      <c r="C1308" s="23"/>
      <c r="D1308" s="24"/>
      <c r="E1308" s="23"/>
      <c r="F1308" s="15" t="str">
        <f aca="false">IF(B1308="","",IFERROR(INDEX(Configurações!$B$7:$B$30,MATCH(B1308,Configurações!$A$7:$A$30,0)),"?"))</f>
        <v/>
      </c>
      <c r="G1308" s="25" t="str">
        <f aca="false">IF(A1308="","",A1308-WEEKDAY(A1308,2)+1)</f>
        <v/>
      </c>
      <c r="H1308" s="26" t="str">
        <f aca="false">IF(A1308="","",DATE(YEAR(A1308),MONTH(A1308),1))</f>
        <v/>
      </c>
    </row>
    <row r="1309" customFormat="false" ht="15" hidden="false" customHeight="false" outlineLevel="0" collapsed="false">
      <c r="A1309" s="22"/>
      <c r="B1309" s="23"/>
      <c r="C1309" s="23"/>
      <c r="D1309" s="24"/>
      <c r="E1309" s="23"/>
      <c r="F1309" s="15" t="str">
        <f aca="false">IF(B1309="","",IFERROR(INDEX(Configurações!$B$7:$B$30,MATCH(B1309,Configurações!$A$7:$A$30,0)),"?"))</f>
        <v/>
      </c>
      <c r="G1309" s="25" t="str">
        <f aca="false">IF(A1309="","",A1309-WEEKDAY(A1309,2)+1)</f>
        <v/>
      </c>
      <c r="H1309" s="26" t="str">
        <f aca="false">IF(A1309="","",DATE(YEAR(A1309),MONTH(A1309),1))</f>
        <v/>
      </c>
    </row>
    <row r="1310" customFormat="false" ht="15" hidden="false" customHeight="false" outlineLevel="0" collapsed="false">
      <c r="A1310" s="22"/>
      <c r="B1310" s="23"/>
      <c r="C1310" s="23"/>
      <c r="D1310" s="24"/>
      <c r="E1310" s="23"/>
      <c r="F1310" s="15" t="str">
        <f aca="false">IF(B1310="","",IFERROR(INDEX(Configurações!$B$7:$B$30,MATCH(B1310,Configurações!$A$7:$A$30,0)),"?"))</f>
        <v/>
      </c>
      <c r="G1310" s="25" t="str">
        <f aca="false">IF(A1310="","",A1310-WEEKDAY(A1310,2)+1)</f>
        <v/>
      </c>
      <c r="H1310" s="26" t="str">
        <f aca="false">IF(A1310="","",DATE(YEAR(A1310),MONTH(A1310),1))</f>
        <v/>
      </c>
    </row>
    <row r="1311" customFormat="false" ht="15" hidden="false" customHeight="false" outlineLevel="0" collapsed="false">
      <c r="A1311" s="22"/>
      <c r="B1311" s="23"/>
      <c r="C1311" s="23"/>
      <c r="D1311" s="24"/>
      <c r="E1311" s="23"/>
      <c r="F1311" s="15" t="str">
        <f aca="false">IF(B1311="","",IFERROR(INDEX(Configurações!$B$7:$B$30,MATCH(B1311,Configurações!$A$7:$A$30,0)),"?"))</f>
        <v/>
      </c>
      <c r="G1311" s="25" t="str">
        <f aca="false">IF(A1311="","",A1311-WEEKDAY(A1311,2)+1)</f>
        <v/>
      </c>
      <c r="H1311" s="26" t="str">
        <f aca="false">IF(A1311="","",DATE(YEAR(A1311),MONTH(A1311),1))</f>
        <v/>
      </c>
    </row>
    <row r="1312" customFormat="false" ht="15" hidden="false" customHeight="false" outlineLevel="0" collapsed="false">
      <c r="A1312" s="22"/>
      <c r="B1312" s="23"/>
      <c r="C1312" s="23"/>
      <c r="D1312" s="24"/>
      <c r="E1312" s="23"/>
      <c r="F1312" s="15" t="str">
        <f aca="false">IF(B1312="","",IFERROR(INDEX(Configurações!$B$7:$B$30,MATCH(B1312,Configurações!$A$7:$A$30,0)),"?"))</f>
        <v/>
      </c>
      <c r="G1312" s="25" t="str">
        <f aca="false">IF(A1312="","",A1312-WEEKDAY(A1312,2)+1)</f>
        <v/>
      </c>
      <c r="H1312" s="26" t="str">
        <f aca="false">IF(A1312="","",DATE(YEAR(A1312),MONTH(A1312),1))</f>
        <v/>
      </c>
    </row>
    <row r="1313" customFormat="false" ht="15" hidden="false" customHeight="false" outlineLevel="0" collapsed="false">
      <c r="A1313" s="22"/>
      <c r="B1313" s="23"/>
      <c r="C1313" s="23"/>
      <c r="D1313" s="24"/>
      <c r="E1313" s="23"/>
      <c r="F1313" s="15" t="str">
        <f aca="false">IF(B1313="","",IFERROR(INDEX(Configurações!$B$7:$B$30,MATCH(B1313,Configurações!$A$7:$A$30,0)),"?"))</f>
        <v/>
      </c>
      <c r="G1313" s="25" t="str">
        <f aca="false">IF(A1313="","",A1313-WEEKDAY(A1313,2)+1)</f>
        <v/>
      </c>
      <c r="H1313" s="26" t="str">
        <f aca="false">IF(A1313="","",DATE(YEAR(A1313),MONTH(A1313),1))</f>
        <v/>
      </c>
    </row>
    <row r="1314" customFormat="false" ht="15" hidden="false" customHeight="false" outlineLevel="0" collapsed="false">
      <c r="A1314" s="22"/>
      <c r="B1314" s="23"/>
      <c r="C1314" s="23"/>
      <c r="D1314" s="24"/>
      <c r="E1314" s="23"/>
      <c r="F1314" s="15" t="str">
        <f aca="false">IF(B1314="","",IFERROR(INDEX(Configurações!$B$7:$B$30,MATCH(B1314,Configurações!$A$7:$A$30,0)),"?"))</f>
        <v/>
      </c>
      <c r="G1314" s="25" t="str">
        <f aca="false">IF(A1314="","",A1314-WEEKDAY(A1314,2)+1)</f>
        <v/>
      </c>
      <c r="H1314" s="26" t="str">
        <f aca="false">IF(A1314="","",DATE(YEAR(A1314),MONTH(A1314),1))</f>
        <v/>
      </c>
    </row>
    <row r="1315" customFormat="false" ht="15" hidden="false" customHeight="false" outlineLevel="0" collapsed="false">
      <c r="A1315" s="22"/>
      <c r="B1315" s="23"/>
      <c r="C1315" s="23"/>
      <c r="D1315" s="24"/>
      <c r="E1315" s="23"/>
      <c r="F1315" s="15" t="str">
        <f aca="false">IF(B1315="","",IFERROR(INDEX(Configurações!$B$7:$B$30,MATCH(B1315,Configurações!$A$7:$A$30,0)),"?"))</f>
        <v/>
      </c>
      <c r="G1315" s="25" t="str">
        <f aca="false">IF(A1315="","",A1315-WEEKDAY(A1315,2)+1)</f>
        <v/>
      </c>
      <c r="H1315" s="26" t="str">
        <f aca="false">IF(A1315="","",DATE(YEAR(A1315),MONTH(A1315),1))</f>
        <v/>
      </c>
    </row>
    <row r="1316" customFormat="false" ht="15" hidden="false" customHeight="false" outlineLevel="0" collapsed="false">
      <c r="A1316" s="22"/>
      <c r="B1316" s="23"/>
      <c r="C1316" s="23"/>
      <c r="D1316" s="24"/>
      <c r="E1316" s="23"/>
      <c r="F1316" s="15" t="str">
        <f aca="false">IF(B1316="","",IFERROR(INDEX(Configurações!$B$7:$B$30,MATCH(B1316,Configurações!$A$7:$A$30,0)),"?"))</f>
        <v/>
      </c>
      <c r="G1316" s="25" t="str">
        <f aca="false">IF(A1316="","",A1316-WEEKDAY(A1316,2)+1)</f>
        <v/>
      </c>
      <c r="H1316" s="26" t="str">
        <f aca="false">IF(A1316="","",DATE(YEAR(A1316),MONTH(A1316),1))</f>
        <v/>
      </c>
    </row>
    <row r="1317" customFormat="false" ht="15" hidden="false" customHeight="false" outlineLevel="0" collapsed="false">
      <c r="A1317" s="22"/>
      <c r="B1317" s="23"/>
      <c r="C1317" s="23"/>
      <c r="D1317" s="24"/>
      <c r="E1317" s="23"/>
      <c r="F1317" s="15" t="str">
        <f aca="false">IF(B1317="","",IFERROR(INDEX(Configurações!$B$7:$B$30,MATCH(B1317,Configurações!$A$7:$A$30,0)),"?"))</f>
        <v/>
      </c>
      <c r="G1317" s="25" t="str">
        <f aca="false">IF(A1317="","",A1317-WEEKDAY(A1317,2)+1)</f>
        <v/>
      </c>
      <c r="H1317" s="26" t="str">
        <f aca="false">IF(A1317="","",DATE(YEAR(A1317),MONTH(A1317),1))</f>
        <v/>
      </c>
    </row>
    <row r="1318" customFormat="false" ht="15" hidden="false" customHeight="false" outlineLevel="0" collapsed="false">
      <c r="A1318" s="22"/>
      <c r="B1318" s="23"/>
      <c r="C1318" s="23"/>
      <c r="D1318" s="24"/>
      <c r="E1318" s="23"/>
      <c r="F1318" s="15" t="str">
        <f aca="false">IF(B1318="","",IFERROR(INDEX(Configurações!$B$7:$B$30,MATCH(B1318,Configurações!$A$7:$A$30,0)),"?"))</f>
        <v/>
      </c>
      <c r="G1318" s="25" t="str">
        <f aca="false">IF(A1318="","",A1318-WEEKDAY(A1318,2)+1)</f>
        <v/>
      </c>
      <c r="H1318" s="26" t="str">
        <f aca="false">IF(A1318="","",DATE(YEAR(A1318),MONTH(A1318),1))</f>
        <v/>
      </c>
    </row>
    <row r="1319" customFormat="false" ht="15" hidden="false" customHeight="false" outlineLevel="0" collapsed="false">
      <c r="A1319" s="22"/>
      <c r="B1319" s="23"/>
      <c r="C1319" s="23"/>
      <c r="D1319" s="24"/>
      <c r="E1319" s="23"/>
      <c r="F1319" s="15" t="str">
        <f aca="false">IF(B1319="","",IFERROR(INDEX(Configurações!$B$7:$B$30,MATCH(B1319,Configurações!$A$7:$A$30,0)),"?"))</f>
        <v/>
      </c>
      <c r="G1319" s="25" t="str">
        <f aca="false">IF(A1319="","",A1319-WEEKDAY(A1319,2)+1)</f>
        <v/>
      </c>
      <c r="H1319" s="26" t="str">
        <f aca="false">IF(A1319="","",DATE(YEAR(A1319),MONTH(A1319),1))</f>
        <v/>
      </c>
    </row>
    <row r="1320" customFormat="false" ht="15" hidden="false" customHeight="false" outlineLevel="0" collapsed="false">
      <c r="A1320" s="22"/>
      <c r="B1320" s="23"/>
      <c r="C1320" s="23"/>
      <c r="D1320" s="24"/>
      <c r="E1320" s="23"/>
      <c r="F1320" s="15" t="str">
        <f aca="false">IF(B1320="","",IFERROR(INDEX(Configurações!$B$7:$B$30,MATCH(B1320,Configurações!$A$7:$A$30,0)),"?"))</f>
        <v/>
      </c>
      <c r="G1320" s="25" t="str">
        <f aca="false">IF(A1320="","",A1320-WEEKDAY(A1320,2)+1)</f>
        <v/>
      </c>
      <c r="H1320" s="26" t="str">
        <f aca="false">IF(A1320="","",DATE(YEAR(A1320),MONTH(A1320),1))</f>
        <v/>
      </c>
    </row>
    <row r="1321" customFormat="false" ht="15" hidden="false" customHeight="false" outlineLevel="0" collapsed="false">
      <c r="A1321" s="22"/>
      <c r="B1321" s="23"/>
      <c r="C1321" s="23"/>
      <c r="D1321" s="24"/>
      <c r="E1321" s="23"/>
      <c r="F1321" s="15" t="str">
        <f aca="false">IF(B1321="","",IFERROR(INDEX(Configurações!$B$7:$B$30,MATCH(B1321,Configurações!$A$7:$A$30,0)),"?"))</f>
        <v/>
      </c>
      <c r="G1321" s="25" t="str">
        <f aca="false">IF(A1321="","",A1321-WEEKDAY(A1321,2)+1)</f>
        <v/>
      </c>
      <c r="H1321" s="26" t="str">
        <f aca="false">IF(A1321="","",DATE(YEAR(A1321),MONTH(A1321),1))</f>
        <v/>
      </c>
    </row>
    <row r="1322" customFormat="false" ht="15" hidden="false" customHeight="false" outlineLevel="0" collapsed="false">
      <c r="A1322" s="22"/>
      <c r="B1322" s="23"/>
      <c r="C1322" s="23"/>
      <c r="D1322" s="24"/>
      <c r="E1322" s="23"/>
      <c r="F1322" s="15" t="str">
        <f aca="false">IF(B1322="","",IFERROR(INDEX(Configurações!$B$7:$B$30,MATCH(B1322,Configurações!$A$7:$A$30,0)),"?"))</f>
        <v/>
      </c>
      <c r="G1322" s="25" t="str">
        <f aca="false">IF(A1322="","",A1322-WEEKDAY(A1322,2)+1)</f>
        <v/>
      </c>
      <c r="H1322" s="26" t="str">
        <f aca="false">IF(A1322="","",DATE(YEAR(A1322),MONTH(A1322),1))</f>
        <v/>
      </c>
    </row>
    <row r="1323" customFormat="false" ht="15" hidden="false" customHeight="false" outlineLevel="0" collapsed="false">
      <c r="A1323" s="22"/>
      <c r="B1323" s="23"/>
      <c r="C1323" s="23"/>
      <c r="D1323" s="24"/>
      <c r="E1323" s="23"/>
      <c r="F1323" s="15" t="str">
        <f aca="false">IF(B1323="","",IFERROR(INDEX(Configurações!$B$7:$B$30,MATCH(B1323,Configurações!$A$7:$A$30,0)),"?"))</f>
        <v/>
      </c>
      <c r="G1323" s="25" t="str">
        <f aca="false">IF(A1323="","",A1323-WEEKDAY(A1323,2)+1)</f>
        <v/>
      </c>
      <c r="H1323" s="26" t="str">
        <f aca="false">IF(A1323="","",DATE(YEAR(A1323),MONTH(A1323),1))</f>
        <v/>
      </c>
    </row>
    <row r="1324" customFormat="false" ht="15" hidden="false" customHeight="false" outlineLevel="0" collapsed="false">
      <c r="A1324" s="22"/>
      <c r="B1324" s="23"/>
      <c r="C1324" s="23"/>
      <c r="D1324" s="24"/>
      <c r="E1324" s="23"/>
      <c r="F1324" s="15" t="str">
        <f aca="false">IF(B1324="","",IFERROR(INDEX(Configurações!$B$7:$B$30,MATCH(B1324,Configurações!$A$7:$A$30,0)),"?"))</f>
        <v/>
      </c>
      <c r="G1324" s="25" t="str">
        <f aca="false">IF(A1324="","",A1324-WEEKDAY(A1324,2)+1)</f>
        <v/>
      </c>
      <c r="H1324" s="26" t="str">
        <f aca="false">IF(A1324="","",DATE(YEAR(A1324),MONTH(A1324),1))</f>
        <v/>
      </c>
    </row>
    <row r="1325" customFormat="false" ht="15" hidden="false" customHeight="false" outlineLevel="0" collapsed="false">
      <c r="A1325" s="22"/>
      <c r="B1325" s="23"/>
      <c r="C1325" s="23"/>
      <c r="D1325" s="24"/>
      <c r="E1325" s="23"/>
      <c r="F1325" s="15" t="str">
        <f aca="false">IF(B1325="","",IFERROR(INDEX(Configurações!$B$7:$B$30,MATCH(B1325,Configurações!$A$7:$A$30,0)),"?"))</f>
        <v/>
      </c>
      <c r="G1325" s="25" t="str">
        <f aca="false">IF(A1325="","",A1325-WEEKDAY(A1325,2)+1)</f>
        <v/>
      </c>
      <c r="H1325" s="26" t="str">
        <f aca="false">IF(A1325="","",DATE(YEAR(A1325),MONTH(A1325),1))</f>
        <v/>
      </c>
    </row>
    <row r="1326" customFormat="false" ht="15" hidden="false" customHeight="false" outlineLevel="0" collapsed="false">
      <c r="A1326" s="22"/>
      <c r="B1326" s="23"/>
      <c r="C1326" s="23"/>
      <c r="D1326" s="24"/>
      <c r="E1326" s="23"/>
      <c r="F1326" s="15" t="str">
        <f aca="false">IF(B1326="","",IFERROR(INDEX(Configurações!$B$7:$B$30,MATCH(B1326,Configurações!$A$7:$A$30,0)),"?"))</f>
        <v/>
      </c>
      <c r="G1326" s="25" t="str">
        <f aca="false">IF(A1326="","",A1326-WEEKDAY(A1326,2)+1)</f>
        <v/>
      </c>
      <c r="H1326" s="26" t="str">
        <f aca="false">IF(A1326="","",DATE(YEAR(A1326),MONTH(A1326),1))</f>
        <v/>
      </c>
    </row>
    <row r="1327" customFormat="false" ht="15" hidden="false" customHeight="false" outlineLevel="0" collapsed="false">
      <c r="A1327" s="22"/>
      <c r="B1327" s="23"/>
      <c r="C1327" s="23"/>
      <c r="D1327" s="24"/>
      <c r="E1327" s="23"/>
      <c r="F1327" s="15" t="str">
        <f aca="false">IF(B1327="","",IFERROR(INDEX(Configurações!$B$7:$B$30,MATCH(B1327,Configurações!$A$7:$A$30,0)),"?"))</f>
        <v/>
      </c>
      <c r="G1327" s="25" t="str">
        <f aca="false">IF(A1327="","",A1327-WEEKDAY(A1327,2)+1)</f>
        <v/>
      </c>
      <c r="H1327" s="26" t="str">
        <f aca="false">IF(A1327="","",DATE(YEAR(A1327),MONTH(A1327),1))</f>
        <v/>
      </c>
    </row>
    <row r="1328" customFormat="false" ht="15" hidden="false" customHeight="false" outlineLevel="0" collapsed="false">
      <c r="A1328" s="22"/>
      <c r="B1328" s="23"/>
      <c r="C1328" s="23"/>
      <c r="D1328" s="24"/>
      <c r="E1328" s="23"/>
      <c r="F1328" s="15" t="str">
        <f aca="false">IF(B1328="","",IFERROR(INDEX(Configurações!$B$7:$B$30,MATCH(B1328,Configurações!$A$7:$A$30,0)),"?"))</f>
        <v/>
      </c>
      <c r="G1328" s="25" t="str">
        <f aca="false">IF(A1328="","",A1328-WEEKDAY(A1328,2)+1)</f>
        <v/>
      </c>
      <c r="H1328" s="26" t="str">
        <f aca="false">IF(A1328="","",DATE(YEAR(A1328),MONTH(A1328),1))</f>
        <v/>
      </c>
    </row>
    <row r="1329" customFormat="false" ht="15" hidden="false" customHeight="false" outlineLevel="0" collapsed="false">
      <c r="A1329" s="22"/>
      <c r="B1329" s="23"/>
      <c r="C1329" s="23"/>
      <c r="D1329" s="24"/>
      <c r="E1329" s="23"/>
      <c r="F1329" s="15" t="str">
        <f aca="false">IF(B1329="","",IFERROR(INDEX(Configurações!$B$7:$B$30,MATCH(B1329,Configurações!$A$7:$A$30,0)),"?"))</f>
        <v/>
      </c>
      <c r="G1329" s="25" t="str">
        <f aca="false">IF(A1329="","",A1329-WEEKDAY(A1329,2)+1)</f>
        <v/>
      </c>
      <c r="H1329" s="26" t="str">
        <f aca="false">IF(A1329="","",DATE(YEAR(A1329),MONTH(A1329),1))</f>
        <v/>
      </c>
    </row>
    <row r="1330" customFormat="false" ht="15" hidden="false" customHeight="false" outlineLevel="0" collapsed="false">
      <c r="A1330" s="22"/>
      <c r="B1330" s="23"/>
      <c r="C1330" s="23"/>
      <c r="D1330" s="24"/>
      <c r="E1330" s="23"/>
      <c r="F1330" s="15" t="str">
        <f aca="false">IF(B1330="","",IFERROR(INDEX(Configurações!$B$7:$B$30,MATCH(B1330,Configurações!$A$7:$A$30,0)),"?"))</f>
        <v/>
      </c>
      <c r="G1330" s="25" t="str">
        <f aca="false">IF(A1330="","",A1330-WEEKDAY(A1330,2)+1)</f>
        <v/>
      </c>
      <c r="H1330" s="26" t="str">
        <f aca="false">IF(A1330="","",DATE(YEAR(A1330),MONTH(A1330),1))</f>
        <v/>
      </c>
    </row>
    <row r="1331" customFormat="false" ht="15" hidden="false" customHeight="false" outlineLevel="0" collapsed="false">
      <c r="A1331" s="22"/>
      <c r="B1331" s="23"/>
      <c r="C1331" s="23"/>
      <c r="D1331" s="24"/>
      <c r="E1331" s="23"/>
      <c r="F1331" s="15" t="str">
        <f aca="false">IF(B1331="","",IFERROR(INDEX(Configurações!$B$7:$B$30,MATCH(B1331,Configurações!$A$7:$A$30,0)),"?"))</f>
        <v/>
      </c>
      <c r="G1331" s="25" t="str">
        <f aca="false">IF(A1331="","",A1331-WEEKDAY(A1331,2)+1)</f>
        <v/>
      </c>
      <c r="H1331" s="26" t="str">
        <f aca="false">IF(A1331="","",DATE(YEAR(A1331),MONTH(A1331),1))</f>
        <v/>
      </c>
    </row>
    <row r="1332" customFormat="false" ht="15" hidden="false" customHeight="false" outlineLevel="0" collapsed="false">
      <c r="A1332" s="22"/>
      <c r="B1332" s="23"/>
      <c r="C1332" s="23"/>
      <c r="D1332" s="24"/>
      <c r="E1332" s="23"/>
      <c r="F1332" s="15" t="str">
        <f aca="false">IF(B1332="","",IFERROR(INDEX(Configurações!$B$7:$B$30,MATCH(B1332,Configurações!$A$7:$A$30,0)),"?"))</f>
        <v/>
      </c>
      <c r="G1332" s="25" t="str">
        <f aca="false">IF(A1332="","",A1332-WEEKDAY(A1332,2)+1)</f>
        <v/>
      </c>
      <c r="H1332" s="26" t="str">
        <f aca="false">IF(A1332="","",DATE(YEAR(A1332),MONTH(A1332),1))</f>
        <v/>
      </c>
    </row>
    <row r="1333" customFormat="false" ht="15" hidden="false" customHeight="false" outlineLevel="0" collapsed="false">
      <c r="A1333" s="22"/>
      <c r="B1333" s="23"/>
      <c r="C1333" s="23"/>
      <c r="D1333" s="24"/>
      <c r="E1333" s="23"/>
      <c r="F1333" s="15" t="str">
        <f aca="false">IF(B1333="","",IFERROR(INDEX(Configurações!$B$7:$B$30,MATCH(B1333,Configurações!$A$7:$A$30,0)),"?"))</f>
        <v/>
      </c>
      <c r="G1333" s="25" t="str">
        <f aca="false">IF(A1333="","",A1333-WEEKDAY(A1333,2)+1)</f>
        <v/>
      </c>
      <c r="H1333" s="26" t="str">
        <f aca="false">IF(A1333="","",DATE(YEAR(A1333),MONTH(A1333),1))</f>
        <v/>
      </c>
    </row>
    <row r="1334" customFormat="false" ht="15" hidden="false" customHeight="false" outlineLevel="0" collapsed="false">
      <c r="A1334" s="22"/>
      <c r="B1334" s="23"/>
      <c r="C1334" s="23"/>
      <c r="D1334" s="24"/>
      <c r="E1334" s="23"/>
      <c r="F1334" s="15" t="str">
        <f aca="false">IF(B1334="","",IFERROR(INDEX(Configurações!$B$7:$B$30,MATCH(B1334,Configurações!$A$7:$A$30,0)),"?"))</f>
        <v/>
      </c>
      <c r="G1334" s="25" t="str">
        <f aca="false">IF(A1334="","",A1334-WEEKDAY(A1334,2)+1)</f>
        <v/>
      </c>
      <c r="H1334" s="26" t="str">
        <f aca="false">IF(A1334="","",DATE(YEAR(A1334),MONTH(A1334),1))</f>
        <v/>
      </c>
    </row>
    <row r="1335" customFormat="false" ht="15" hidden="false" customHeight="false" outlineLevel="0" collapsed="false">
      <c r="A1335" s="22"/>
      <c r="B1335" s="23"/>
      <c r="C1335" s="23"/>
      <c r="D1335" s="24"/>
      <c r="E1335" s="23"/>
      <c r="F1335" s="15" t="str">
        <f aca="false">IF(B1335="","",IFERROR(INDEX(Configurações!$B$7:$B$30,MATCH(B1335,Configurações!$A$7:$A$30,0)),"?"))</f>
        <v/>
      </c>
      <c r="G1335" s="25" t="str">
        <f aca="false">IF(A1335="","",A1335-WEEKDAY(A1335,2)+1)</f>
        <v/>
      </c>
      <c r="H1335" s="26" t="str">
        <f aca="false">IF(A1335="","",DATE(YEAR(A1335),MONTH(A1335),1))</f>
        <v/>
      </c>
    </row>
    <row r="1336" customFormat="false" ht="15" hidden="false" customHeight="false" outlineLevel="0" collapsed="false">
      <c r="A1336" s="22"/>
      <c r="B1336" s="23"/>
      <c r="C1336" s="23"/>
      <c r="D1336" s="24"/>
      <c r="E1336" s="23"/>
      <c r="F1336" s="15" t="str">
        <f aca="false">IF(B1336="","",IFERROR(INDEX(Configurações!$B$7:$B$30,MATCH(B1336,Configurações!$A$7:$A$30,0)),"?"))</f>
        <v/>
      </c>
      <c r="G1336" s="25" t="str">
        <f aca="false">IF(A1336="","",A1336-WEEKDAY(A1336,2)+1)</f>
        <v/>
      </c>
      <c r="H1336" s="26" t="str">
        <f aca="false">IF(A1336="","",DATE(YEAR(A1336),MONTH(A1336),1))</f>
        <v/>
      </c>
    </row>
    <row r="1337" customFormat="false" ht="15" hidden="false" customHeight="false" outlineLevel="0" collapsed="false">
      <c r="A1337" s="22"/>
      <c r="B1337" s="23"/>
      <c r="C1337" s="23"/>
      <c r="D1337" s="24"/>
      <c r="E1337" s="23"/>
      <c r="F1337" s="15" t="str">
        <f aca="false">IF(B1337="","",IFERROR(INDEX(Configurações!$B$7:$B$30,MATCH(B1337,Configurações!$A$7:$A$30,0)),"?"))</f>
        <v/>
      </c>
      <c r="G1337" s="25" t="str">
        <f aca="false">IF(A1337="","",A1337-WEEKDAY(A1337,2)+1)</f>
        <v/>
      </c>
      <c r="H1337" s="26" t="str">
        <f aca="false">IF(A1337="","",DATE(YEAR(A1337),MONTH(A1337),1))</f>
        <v/>
      </c>
    </row>
    <row r="1338" customFormat="false" ht="15" hidden="false" customHeight="false" outlineLevel="0" collapsed="false">
      <c r="A1338" s="22"/>
      <c r="B1338" s="23"/>
      <c r="C1338" s="23"/>
      <c r="D1338" s="24"/>
      <c r="E1338" s="23"/>
      <c r="F1338" s="15" t="str">
        <f aca="false">IF(B1338="","",IFERROR(INDEX(Configurações!$B$7:$B$30,MATCH(B1338,Configurações!$A$7:$A$30,0)),"?"))</f>
        <v/>
      </c>
      <c r="G1338" s="25" t="str">
        <f aca="false">IF(A1338="","",A1338-WEEKDAY(A1338,2)+1)</f>
        <v/>
      </c>
      <c r="H1338" s="26" t="str">
        <f aca="false">IF(A1338="","",DATE(YEAR(A1338),MONTH(A1338),1))</f>
        <v/>
      </c>
    </row>
    <row r="1339" customFormat="false" ht="15" hidden="false" customHeight="false" outlineLevel="0" collapsed="false">
      <c r="A1339" s="22"/>
      <c r="B1339" s="23"/>
      <c r="C1339" s="23"/>
      <c r="D1339" s="24"/>
      <c r="E1339" s="23"/>
      <c r="F1339" s="15" t="str">
        <f aca="false">IF(B1339="","",IFERROR(INDEX(Configurações!$B$7:$B$30,MATCH(B1339,Configurações!$A$7:$A$30,0)),"?"))</f>
        <v/>
      </c>
      <c r="G1339" s="25" t="str">
        <f aca="false">IF(A1339="","",A1339-WEEKDAY(A1339,2)+1)</f>
        <v/>
      </c>
      <c r="H1339" s="26" t="str">
        <f aca="false">IF(A1339="","",DATE(YEAR(A1339),MONTH(A1339),1))</f>
        <v/>
      </c>
    </row>
    <row r="1340" customFormat="false" ht="15" hidden="false" customHeight="false" outlineLevel="0" collapsed="false">
      <c r="A1340" s="22"/>
      <c r="B1340" s="23"/>
      <c r="C1340" s="23"/>
      <c r="D1340" s="24"/>
      <c r="E1340" s="23"/>
      <c r="F1340" s="15" t="str">
        <f aca="false">IF(B1340="","",IFERROR(INDEX(Configurações!$B$7:$B$30,MATCH(B1340,Configurações!$A$7:$A$30,0)),"?"))</f>
        <v/>
      </c>
      <c r="G1340" s="25" t="str">
        <f aca="false">IF(A1340="","",A1340-WEEKDAY(A1340,2)+1)</f>
        <v/>
      </c>
      <c r="H1340" s="26" t="str">
        <f aca="false">IF(A1340="","",DATE(YEAR(A1340),MONTH(A1340),1))</f>
        <v/>
      </c>
    </row>
    <row r="1341" customFormat="false" ht="15" hidden="false" customHeight="false" outlineLevel="0" collapsed="false">
      <c r="A1341" s="22"/>
      <c r="B1341" s="23"/>
      <c r="C1341" s="23"/>
      <c r="D1341" s="24"/>
      <c r="E1341" s="23"/>
      <c r="F1341" s="15" t="str">
        <f aca="false">IF(B1341="","",IFERROR(INDEX(Configurações!$B$7:$B$30,MATCH(B1341,Configurações!$A$7:$A$30,0)),"?"))</f>
        <v/>
      </c>
      <c r="G1341" s="25" t="str">
        <f aca="false">IF(A1341="","",A1341-WEEKDAY(A1341,2)+1)</f>
        <v/>
      </c>
      <c r="H1341" s="26" t="str">
        <f aca="false">IF(A1341="","",DATE(YEAR(A1341),MONTH(A1341),1))</f>
        <v/>
      </c>
    </row>
    <row r="1342" customFormat="false" ht="15" hidden="false" customHeight="false" outlineLevel="0" collapsed="false">
      <c r="A1342" s="22"/>
      <c r="B1342" s="23"/>
      <c r="C1342" s="23"/>
      <c r="D1342" s="24"/>
      <c r="E1342" s="23"/>
      <c r="F1342" s="15" t="str">
        <f aca="false">IF(B1342="","",IFERROR(INDEX(Configurações!$B$7:$B$30,MATCH(B1342,Configurações!$A$7:$A$30,0)),"?"))</f>
        <v/>
      </c>
      <c r="G1342" s="25" t="str">
        <f aca="false">IF(A1342="","",A1342-WEEKDAY(A1342,2)+1)</f>
        <v/>
      </c>
      <c r="H1342" s="26" t="str">
        <f aca="false">IF(A1342="","",DATE(YEAR(A1342),MONTH(A1342),1))</f>
        <v/>
      </c>
    </row>
    <row r="1343" customFormat="false" ht="15" hidden="false" customHeight="false" outlineLevel="0" collapsed="false">
      <c r="A1343" s="22"/>
      <c r="B1343" s="23"/>
      <c r="C1343" s="23"/>
      <c r="D1343" s="24"/>
      <c r="E1343" s="23"/>
      <c r="F1343" s="15" t="str">
        <f aca="false">IF(B1343="","",IFERROR(INDEX(Configurações!$B$7:$B$30,MATCH(B1343,Configurações!$A$7:$A$30,0)),"?"))</f>
        <v/>
      </c>
      <c r="G1343" s="25" t="str">
        <f aca="false">IF(A1343="","",A1343-WEEKDAY(A1343,2)+1)</f>
        <v/>
      </c>
      <c r="H1343" s="26" t="str">
        <f aca="false">IF(A1343="","",DATE(YEAR(A1343),MONTH(A1343),1))</f>
        <v/>
      </c>
    </row>
    <row r="1344" customFormat="false" ht="15" hidden="false" customHeight="false" outlineLevel="0" collapsed="false">
      <c r="A1344" s="22"/>
      <c r="B1344" s="23"/>
      <c r="C1344" s="23"/>
      <c r="D1344" s="24"/>
      <c r="E1344" s="23"/>
      <c r="F1344" s="15" t="str">
        <f aca="false">IF(B1344="","",IFERROR(INDEX(Configurações!$B$7:$B$30,MATCH(B1344,Configurações!$A$7:$A$30,0)),"?"))</f>
        <v/>
      </c>
      <c r="G1344" s="25" t="str">
        <f aca="false">IF(A1344="","",A1344-WEEKDAY(A1344,2)+1)</f>
        <v/>
      </c>
      <c r="H1344" s="26" t="str">
        <f aca="false">IF(A1344="","",DATE(YEAR(A1344),MONTH(A1344),1))</f>
        <v/>
      </c>
    </row>
    <row r="1345" customFormat="false" ht="15" hidden="false" customHeight="false" outlineLevel="0" collapsed="false">
      <c r="A1345" s="22"/>
      <c r="B1345" s="23"/>
      <c r="C1345" s="23"/>
      <c r="D1345" s="24"/>
      <c r="E1345" s="23"/>
      <c r="F1345" s="15" t="str">
        <f aca="false">IF(B1345="","",IFERROR(INDEX(Configurações!$B$7:$B$30,MATCH(B1345,Configurações!$A$7:$A$30,0)),"?"))</f>
        <v/>
      </c>
      <c r="G1345" s="25" t="str">
        <f aca="false">IF(A1345="","",A1345-WEEKDAY(A1345,2)+1)</f>
        <v/>
      </c>
      <c r="H1345" s="26" t="str">
        <f aca="false">IF(A1345="","",DATE(YEAR(A1345),MONTH(A1345),1))</f>
        <v/>
      </c>
    </row>
    <row r="1346" customFormat="false" ht="15" hidden="false" customHeight="false" outlineLevel="0" collapsed="false">
      <c r="A1346" s="22"/>
      <c r="B1346" s="23"/>
      <c r="C1346" s="23"/>
      <c r="D1346" s="24"/>
      <c r="E1346" s="23"/>
      <c r="F1346" s="15" t="str">
        <f aca="false">IF(B1346="","",IFERROR(INDEX(Configurações!$B$7:$B$30,MATCH(B1346,Configurações!$A$7:$A$30,0)),"?"))</f>
        <v/>
      </c>
      <c r="G1346" s="25" t="str">
        <f aca="false">IF(A1346="","",A1346-WEEKDAY(A1346,2)+1)</f>
        <v/>
      </c>
      <c r="H1346" s="26" t="str">
        <f aca="false">IF(A1346="","",DATE(YEAR(A1346),MONTH(A1346),1))</f>
        <v/>
      </c>
    </row>
    <row r="1347" customFormat="false" ht="15" hidden="false" customHeight="false" outlineLevel="0" collapsed="false">
      <c r="A1347" s="22"/>
      <c r="B1347" s="23"/>
      <c r="C1347" s="23"/>
      <c r="D1347" s="24"/>
      <c r="E1347" s="23"/>
      <c r="F1347" s="15" t="str">
        <f aca="false">IF(B1347="","",IFERROR(INDEX(Configurações!$B$7:$B$30,MATCH(B1347,Configurações!$A$7:$A$30,0)),"?"))</f>
        <v/>
      </c>
      <c r="G1347" s="25" t="str">
        <f aca="false">IF(A1347="","",A1347-WEEKDAY(A1347,2)+1)</f>
        <v/>
      </c>
      <c r="H1347" s="26" t="str">
        <f aca="false">IF(A1347="","",DATE(YEAR(A1347),MONTH(A1347),1))</f>
        <v/>
      </c>
    </row>
    <row r="1348" customFormat="false" ht="15" hidden="false" customHeight="false" outlineLevel="0" collapsed="false">
      <c r="A1348" s="22"/>
      <c r="B1348" s="23"/>
      <c r="C1348" s="23"/>
      <c r="D1348" s="24"/>
      <c r="E1348" s="23"/>
      <c r="F1348" s="15" t="str">
        <f aca="false">IF(B1348="","",IFERROR(INDEX(Configurações!$B$7:$B$30,MATCH(B1348,Configurações!$A$7:$A$30,0)),"?"))</f>
        <v/>
      </c>
      <c r="G1348" s="25" t="str">
        <f aca="false">IF(A1348="","",A1348-WEEKDAY(A1348,2)+1)</f>
        <v/>
      </c>
      <c r="H1348" s="26" t="str">
        <f aca="false">IF(A1348="","",DATE(YEAR(A1348),MONTH(A1348),1))</f>
        <v/>
      </c>
    </row>
    <row r="1349" customFormat="false" ht="15" hidden="false" customHeight="false" outlineLevel="0" collapsed="false">
      <c r="A1349" s="22"/>
      <c r="B1349" s="23"/>
      <c r="C1349" s="23"/>
      <c r="D1349" s="24"/>
      <c r="E1349" s="23"/>
      <c r="F1349" s="15" t="str">
        <f aca="false">IF(B1349="","",IFERROR(INDEX(Configurações!$B$7:$B$30,MATCH(B1349,Configurações!$A$7:$A$30,0)),"?"))</f>
        <v/>
      </c>
      <c r="G1349" s="25" t="str">
        <f aca="false">IF(A1349="","",A1349-WEEKDAY(A1349,2)+1)</f>
        <v/>
      </c>
      <c r="H1349" s="26" t="str">
        <f aca="false">IF(A1349="","",DATE(YEAR(A1349),MONTH(A1349),1))</f>
        <v/>
      </c>
    </row>
    <row r="1350" customFormat="false" ht="15" hidden="false" customHeight="false" outlineLevel="0" collapsed="false">
      <c r="A1350" s="22"/>
      <c r="B1350" s="23"/>
      <c r="C1350" s="23"/>
      <c r="D1350" s="24"/>
      <c r="E1350" s="23"/>
      <c r="F1350" s="15" t="str">
        <f aca="false">IF(B1350="","",IFERROR(INDEX(Configurações!$B$7:$B$30,MATCH(B1350,Configurações!$A$7:$A$30,0)),"?"))</f>
        <v/>
      </c>
      <c r="G1350" s="25" t="str">
        <f aca="false">IF(A1350="","",A1350-WEEKDAY(A1350,2)+1)</f>
        <v/>
      </c>
      <c r="H1350" s="26" t="str">
        <f aca="false">IF(A1350="","",DATE(YEAR(A1350),MONTH(A1350),1))</f>
        <v/>
      </c>
    </row>
    <row r="1351" customFormat="false" ht="15" hidden="false" customHeight="false" outlineLevel="0" collapsed="false">
      <c r="A1351" s="22"/>
      <c r="B1351" s="23"/>
      <c r="C1351" s="23"/>
      <c r="D1351" s="24"/>
      <c r="E1351" s="23"/>
      <c r="F1351" s="15" t="str">
        <f aca="false">IF(B1351="","",IFERROR(INDEX(Configurações!$B$7:$B$30,MATCH(B1351,Configurações!$A$7:$A$30,0)),"?"))</f>
        <v/>
      </c>
      <c r="G1351" s="25" t="str">
        <f aca="false">IF(A1351="","",A1351-WEEKDAY(A1351,2)+1)</f>
        <v/>
      </c>
      <c r="H1351" s="26" t="str">
        <f aca="false">IF(A1351="","",DATE(YEAR(A1351),MONTH(A1351),1))</f>
        <v/>
      </c>
    </row>
    <row r="1352" customFormat="false" ht="15" hidden="false" customHeight="false" outlineLevel="0" collapsed="false">
      <c r="A1352" s="22"/>
      <c r="B1352" s="23"/>
      <c r="C1352" s="23"/>
      <c r="D1352" s="24"/>
      <c r="E1352" s="23"/>
      <c r="F1352" s="15" t="str">
        <f aca="false">IF(B1352="","",IFERROR(INDEX(Configurações!$B$7:$B$30,MATCH(B1352,Configurações!$A$7:$A$30,0)),"?"))</f>
        <v/>
      </c>
      <c r="G1352" s="25" t="str">
        <f aca="false">IF(A1352="","",A1352-WEEKDAY(A1352,2)+1)</f>
        <v/>
      </c>
      <c r="H1352" s="26" t="str">
        <f aca="false">IF(A1352="","",DATE(YEAR(A1352),MONTH(A1352),1))</f>
        <v/>
      </c>
    </row>
    <row r="1353" customFormat="false" ht="15" hidden="false" customHeight="false" outlineLevel="0" collapsed="false">
      <c r="A1353" s="22"/>
      <c r="B1353" s="23"/>
      <c r="C1353" s="23"/>
      <c r="D1353" s="24"/>
      <c r="E1353" s="23"/>
      <c r="F1353" s="15" t="str">
        <f aca="false">IF(B1353="","",IFERROR(INDEX(Configurações!$B$7:$B$30,MATCH(B1353,Configurações!$A$7:$A$30,0)),"?"))</f>
        <v/>
      </c>
      <c r="G1353" s="25" t="str">
        <f aca="false">IF(A1353="","",A1353-WEEKDAY(A1353,2)+1)</f>
        <v/>
      </c>
      <c r="H1353" s="26" t="str">
        <f aca="false">IF(A1353="","",DATE(YEAR(A1353),MONTH(A1353),1))</f>
        <v/>
      </c>
    </row>
    <row r="1354" customFormat="false" ht="15" hidden="false" customHeight="false" outlineLevel="0" collapsed="false">
      <c r="A1354" s="22"/>
      <c r="B1354" s="23"/>
      <c r="C1354" s="23"/>
      <c r="D1354" s="24"/>
      <c r="E1354" s="23"/>
      <c r="F1354" s="15" t="str">
        <f aca="false">IF(B1354="","",IFERROR(INDEX(Configurações!$B$7:$B$30,MATCH(B1354,Configurações!$A$7:$A$30,0)),"?"))</f>
        <v/>
      </c>
      <c r="G1354" s="25" t="str">
        <f aca="false">IF(A1354="","",A1354-WEEKDAY(A1354,2)+1)</f>
        <v/>
      </c>
      <c r="H1354" s="26" t="str">
        <f aca="false">IF(A1354="","",DATE(YEAR(A1354),MONTH(A1354),1))</f>
        <v/>
      </c>
    </row>
    <row r="1355" customFormat="false" ht="15" hidden="false" customHeight="false" outlineLevel="0" collapsed="false">
      <c r="A1355" s="22"/>
      <c r="B1355" s="23"/>
      <c r="C1355" s="23"/>
      <c r="D1355" s="24"/>
      <c r="E1355" s="23"/>
      <c r="F1355" s="15" t="str">
        <f aca="false">IF(B1355="","",IFERROR(INDEX(Configurações!$B$7:$B$30,MATCH(B1355,Configurações!$A$7:$A$30,0)),"?"))</f>
        <v/>
      </c>
      <c r="G1355" s="25" t="str">
        <f aca="false">IF(A1355="","",A1355-WEEKDAY(A1355,2)+1)</f>
        <v/>
      </c>
      <c r="H1355" s="26" t="str">
        <f aca="false">IF(A1355="","",DATE(YEAR(A1355),MONTH(A1355),1))</f>
        <v/>
      </c>
    </row>
    <row r="1356" customFormat="false" ht="15" hidden="false" customHeight="false" outlineLevel="0" collapsed="false">
      <c r="A1356" s="22"/>
      <c r="B1356" s="23"/>
      <c r="C1356" s="23"/>
      <c r="D1356" s="24"/>
      <c r="E1356" s="23"/>
      <c r="F1356" s="15" t="str">
        <f aca="false">IF(B1356="","",IFERROR(INDEX(Configurações!$B$7:$B$30,MATCH(B1356,Configurações!$A$7:$A$30,0)),"?"))</f>
        <v/>
      </c>
      <c r="G1356" s="25" t="str">
        <f aca="false">IF(A1356="","",A1356-WEEKDAY(A1356,2)+1)</f>
        <v/>
      </c>
      <c r="H1356" s="26" t="str">
        <f aca="false">IF(A1356="","",DATE(YEAR(A1356),MONTH(A1356),1))</f>
        <v/>
      </c>
    </row>
    <row r="1357" customFormat="false" ht="15" hidden="false" customHeight="false" outlineLevel="0" collapsed="false">
      <c r="A1357" s="22"/>
      <c r="B1357" s="23"/>
      <c r="C1357" s="23"/>
      <c r="D1357" s="24"/>
      <c r="E1357" s="23"/>
      <c r="F1357" s="15" t="str">
        <f aca="false">IF(B1357="","",IFERROR(INDEX(Configurações!$B$7:$B$30,MATCH(B1357,Configurações!$A$7:$A$30,0)),"?"))</f>
        <v/>
      </c>
      <c r="G1357" s="25" t="str">
        <f aca="false">IF(A1357="","",A1357-WEEKDAY(A1357,2)+1)</f>
        <v/>
      </c>
      <c r="H1357" s="26" t="str">
        <f aca="false">IF(A1357="","",DATE(YEAR(A1357),MONTH(A1357),1))</f>
        <v/>
      </c>
    </row>
    <row r="1358" customFormat="false" ht="15" hidden="false" customHeight="false" outlineLevel="0" collapsed="false">
      <c r="A1358" s="22"/>
      <c r="B1358" s="23"/>
      <c r="C1358" s="23"/>
      <c r="D1358" s="24"/>
      <c r="E1358" s="23"/>
      <c r="F1358" s="15" t="str">
        <f aca="false">IF(B1358="","",IFERROR(INDEX(Configurações!$B$7:$B$30,MATCH(B1358,Configurações!$A$7:$A$30,0)),"?"))</f>
        <v/>
      </c>
      <c r="G1358" s="25" t="str">
        <f aca="false">IF(A1358="","",A1358-WEEKDAY(A1358,2)+1)</f>
        <v/>
      </c>
      <c r="H1358" s="26" t="str">
        <f aca="false">IF(A1358="","",DATE(YEAR(A1358),MONTH(A1358),1))</f>
        <v/>
      </c>
    </row>
    <row r="1359" customFormat="false" ht="15" hidden="false" customHeight="false" outlineLevel="0" collapsed="false">
      <c r="A1359" s="22"/>
      <c r="B1359" s="23"/>
      <c r="C1359" s="23"/>
      <c r="D1359" s="24"/>
      <c r="E1359" s="23"/>
      <c r="F1359" s="15" t="str">
        <f aca="false">IF(B1359="","",IFERROR(INDEX(Configurações!$B$7:$B$30,MATCH(B1359,Configurações!$A$7:$A$30,0)),"?"))</f>
        <v/>
      </c>
      <c r="G1359" s="25" t="str">
        <f aca="false">IF(A1359="","",A1359-WEEKDAY(A1359,2)+1)</f>
        <v/>
      </c>
      <c r="H1359" s="26" t="str">
        <f aca="false">IF(A1359="","",DATE(YEAR(A1359),MONTH(A1359),1))</f>
        <v/>
      </c>
    </row>
    <row r="1360" customFormat="false" ht="15" hidden="false" customHeight="false" outlineLevel="0" collapsed="false">
      <c r="A1360" s="22"/>
      <c r="B1360" s="23"/>
      <c r="C1360" s="23"/>
      <c r="D1360" s="24"/>
      <c r="E1360" s="23"/>
      <c r="F1360" s="15" t="str">
        <f aca="false">IF(B1360="","",IFERROR(INDEX(Configurações!$B$7:$B$30,MATCH(B1360,Configurações!$A$7:$A$30,0)),"?"))</f>
        <v/>
      </c>
      <c r="G1360" s="25" t="str">
        <f aca="false">IF(A1360="","",A1360-WEEKDAY(A1360,2)+1)</f>
        <v/>
      </c>
      <c r="H1360" s="26" t="str">
        <f aca="false">IF(A1360="","",DATE(YEAR(A1360),MONTH(A1360),1))</f>
        <v/>
      </c>
    </row>
    <row r="1361" customFormat="false" ht="15" hidden="false" customHeight="false" outlineLevel="0" collapsed="false">
      <c r="A1361" s="22"/>
      <c r="B1361" s="23"/>
      <c r="C1361" s="23"/>
      <c r="D1361" s="24"/>
      <c r="E1361" s="23"/>
      <c r="F1361" s="15" t="str">
        <f aca="false">IF(B1361="","",IFERROR(INDEX(Configurações!$B$7:$B$30,MATCH(B1361,Configurações!$A$7:$A$30,0)),"?"))</f>
        <v/>
      </c>
      <c r="G1361" s="25" t="str">
        <f aca="false">IF(A1361="","",A1361-WEEKDAY(A1361,2)+1)</f>
        <v/>
      </c>
      <c r="H1361" s="26" t="str">
        <f aca="false">IF(A1361="","",DATE(YEAR(A1361),MONTH(A1361),1))</f>
        <v/>
      </c>
    </row>
    <row r="1362" customFormat="false" ht="15" hidden="false" customHeight="false" outlineLevel="0" collapsed="false">
      <c r="A1362" s="22"/>
      <c r="B1362" s="23"/>
      <c r="C1362" s="23"/>
      <c r="D1362" s="24"/>
      <c r="E1362" s="23"/>
      <c r="F1362" s="15" t="str">
        <f aca="false">IF(B1362="","",IFERROR(INDEX(Configurações!$B$7:$B$30,MATCH(B1362,Configurações!$A$7:$A$30,0)),"?"))</f>
        <v/>
      </c>
      <c r="G1362" s="25" t="str">
        <f aca="false">IF(A1362="","",A1362-WEEKDAY(A1362,2)+1)</f>
        <v/>
      </c>
      <c r="H1362" s="26" t="str">
        <f aca="false">IF(A1362="","",DATE(YEAR(A1362),MONTH(A1362),1))</f>
        <v/>
      </c>
    </row>
    <row r="1363" customFormat="false" ht="15" hidden="false" customHeight="false" outlineLevel="0" collapsed="false">
      <c r="A1363" s="22"/>
      <c r="B1363" s="23"/>
      <c r="C1363" s="23"/>
      <c r="D1363" s="24"/>
      <c r="E1363" s="23"/>
      <c r="F1363" s="15" t="str">
        <f aca="false">IF(B1363="","",IFERROR(INDEX(Configurações!$B$7:$B$30,MATCH(B1363,Configurações!$A$7:$A$30,0)),"?"))</f>
        <v/>
      </c>
      <c r="G1363" s="25" t="str">
        <f aca="false">IF(A1363="","",A1363-WEEKDAY(A1363,2)+1)</f>
        <v/>
      </c>
      <c r="H1363" s="26" t="str">
        <f aca="false">IF(A1363="","",DATE(YEAR(A1363),MONTH(A1363),1))</f>
        <v/>
      </c>
    </row>
    <row r="1364" customFormat="false" ht="15" hidden="false" customHeight="false" outlineLevel="0" collapsed="false">
      <c r="A1364" s="22"/>
      <c r="B1364" s="23"/>
      <c r="C1364" s="23"/>
      <c r="D1364" s="24"/>
      <c r="E1364" s="23"/>
      <c r="F1364" s="15" t="str">
        <f aca="false">IF(B1364="","",IFERROR(INDEX(Configurações!$B$7:$B$30,MATCH(B1364,Configurações!$A$7:$A$30,0)),"?"))</f>
        <v/>
      </c>
      <c r="G1364" s="25" t="str">
        <f aca="false">IF(A1364="","",A1364-WEEKDAY(A1364,2)+1)</f>
        <v/>
      </c>
      <c r="H1364" s="26" t="str">
        <f aca="false">IF(A1364="","",DATE(YEAR(A1364),MONTH(A1364),1))</f>
        <v/>
      </c>
    </row>
    <row r="1365" customFormat="false" ht="15" hidden="false" customHeight="false" outlineLevel="0" collapsed="false">
      <c r="A1365" s="22"/>
      <c r="B1365" s="23"/>
      <c r="C1365" s="23"/>
      <c r="D1365" s="24"/>
      <c r="E1365" s="23"/>
      <c r="F1365" s="15" t="str">
        <f aca="false">IF(B1365="","",IFERROR(INDEX(Configurações!$B$7:$B$30,MATCH(B1365,Configurações!$A$7:$A$30,0)),"?"))</f>
        <v/>
      </c>
      <c r="G1365" s="25" t="str">
        <f aca="false">IF(A1365="","",A1365-WEEKDAY(A1365,2)+1)</f>
        <v/>
      </c>
      <c r="H1365" s="26" t="str">
        <f aca="false">IF(A1365="","",DATE(YEAR(A1365),MONTH(A1365),1))</f>
        <v/>
      </c>
    </row>
    <row r="1366" customFormat="false" ht="15" hidden="false" customHeight="false" outlineLevel="0" collapsed="false">
      <c r="A1366" s="22"/>
      <c r="B1366" s="23"/>
      <c r="C1366" s="23"/>
      <c r="D1366" s="24"/>
      <c r="E1366" s="23"/>
      <c r="F1366" s="15" t="str">
        <f aca="false">IF(B1366="","",IFERROR(INDEX(Configurações!$B$7:$B$30,MATCH(B1366,Configurações!$A$7:$A$30,0)),"?"))</f>
        <v/>
      </c>
      <c r="G1366" s="25" t="str">
        <f aca="false">IF(A1366="","",A1366-WEEKDAY(A1366,2)+1)</f>
        <v/>
      </c>
      <c r="H1366" s="26" t="str">
        <f aca="false">IF(A1366="","",DATE(YEAR(A1366),MONTH(A1366),1))</f>
        <v/>
      </c>
    </row>
    <row r="1367" customFormat="false" ht="15" hidden="false" customHeight="false" outlineLevel="0" collapsed="false">
      <c r="A1367" s="22"/>
      <c r="B1367" s="23"/>
      <c r="C1367" s="23"/>
      <c r="D1367" s="24"/>
      <c r="E1367" s="23"/>
      <c r="F1367" s="15" t="str">
        <f aca="false">IF(B1367="","",IFERROR(INDEX(Configurações!$B$7:$B$30,MATCH(B1367,Configurações!$A$7:$A$30,0)),"?"))</f>
        <v/>
      </c>
      <c r="G1367" s="25" t="str">
        <f aca="false">IF(A1367="","",A1367-WEEKDAY(A1367,2)+1)</f>
        <v/>
      </c>
      <c r="H1367" s="26" t="str">
        <f aca="false">IF(A1367="","",DATE(YEAR(A1367),MONTH(A1367),1))</f>
        <v/>
      </c>
    </row>
    <row r="1368" customFormat="false" ht="15" hidden="false" customHeight="false" outlineLevel="0" collapsed="false">
      <c r="A1368" s="22"/>
      <c r="B1368" s="23"/>
      <c r="C1368" s="23"/>
      <c r="D1368" s="24"/>
      <c r="E1368" s="23"/>
      <c r="F1368" s="15" t="str">
        <f aca="false">IF(B1368="","",IFERROR(INDEX(Configurações!$B$7:$B$30,MATCH(B1368,Configurações!$A$7:$A$30,0)),"?"))</f>
        <v/>
      </c>
      <c r="G1368" s="25" t="str">
        <f aca="false">IF(A1368="","",A1368-WEEKDAY(A1368,2)+1)</f>
        <v/>
      </c>
      <c r="H1368" s="26" t="str">
        <f aca="false">IF(A1368="","",DATE(YEAR(A1368),MONTH(A1368),1))</f>
        <v/>
      </c>
    </row>
    <row r="1369" customFormat="false" ht="15" hidden="false" customHeight="false" outlineLevel="0" collapsed="false">
      <c r="A1369" s="22"/>
      <c r="B1369" s="23"/>
      <c r="C1369" s="23"/>
      <c r="D1369" s="24"/>
      <c r="E1369" s="23"/>
      <c r="F1369" s="15" t="str">
        <f aca="false">IF(B1369="","",IFERROR(INDEX(Configurações!$B$7:$B$30,MATCH(B1369,Configurações!$A$7:$A$30,0)),"?"))</f>
        <v/>
      </c>
      <c r="G1369" s="25" t="str">
        <f aca="false">IF(A1369="","",A1369-WEEKDAY(A1369,2)+1)</f>
        <v/>
      </c>
      <c r="H1369" s="26" t="str">
        <f aca="false">IF(A1369="","",DATE(YEAR(A1369),MONTH(A1369),1))</f>
        <v/>
      </c>
    </row>
    <row r="1370" customFormat="false" ht="15" hidden="false" customHeight="false" outlineLevel="0" collapsed="false">
      <c r="A1370" s="22"/>
      <c r="B1370" s="23"/>
      <c r="C1370" s="23"/>
      <c r="D1370" s="24"/>
      <c r="E1370" s="23"/>
      <c r="F1370" s="15" t="str">
        <f aca="false">IF(B1370="","",IFERROR(INDEX(Configurações!$B$7:$B$30,MATCH(B1370,Configurações!$A$7:$A$30,0)),"?"))</f>
        <v/>
      </c>
      <c r="G1370" s="25" t="str">
        <f aca="false">IF(A1370="","",A1370-WEEKDAY(A1370,2)+1)</f>
        <v/>
      </c>
      <c r="H1370" s="26" t="str">
        <f aca="false">IF(A1370="","",DATE(YEAR(A1370),MONTH(A1370),1))</f>
        <v/>
      </c>
    </row>
    <row r="1371" customFormat="false" ht="15" hidden="false" customHeight="false" outlineLevel="0" collapsed="false">
      <c r="A1371" s="22"/>
      <c r="B1371" s="23"/>
      <c r="C1371" s="23"/>
      <c r="D1371" s="24"/>
      <c r="E1371" s="23"/>
      <c r="F1371" s="15" t="str">
        <f aca="false">IF(B1371="","",IFERROR(INDEX(Configurações!$B$7:$B$30,MATCH(B1371,Configurações!$A$7:$A$30,0)),"?"))</f>
        <v/>
      </c>
      <c r="G1371" s="25" t="str">
        <f aca="false">IF(A1371="","",A1371-WEEKDAY(A1371,2)+1)</f>
        <v/>
      </c>
      <c r="H1371" s="26" t="str">
        <f aca="false">IF(A1371="","",DATE(YEAR(A1371),MONTH(A1371),1))</f>
        <v/>
      </c>
    </row>
    <row r="1372" customFormat="false" ht="15" hidden="false" customHeight="false" outlineLevel="0" collapsed="false">
      <c r="A1372" s="22"/>
      <c r="B1372" s="23"/>
      <c r="C1372" s="23"/>
      <c r="D1372" s="24"/>
      <c r="E1372" s="23"/>
      <c r="F1372" s="15" t="str">
        <f aca="false">IF(B1372="","",IFERROR(INDEX(Configurações!$B$7:$B$30,MATCH(B1372,Configurações!$A$7:$A$30,0)),"?"))</f>
        <v/>
      </c>
      <c r="G1372" s="25" t="str">
        <f aca="false">IF(A1372="","",A1372-WEEKDAY(A1372,2)+1)</f>
        <v/>
      </c>
      <c r="H1372" s="26" t="str">
        <f aca="false">IF(A1372="","",DATE(YEAR(A1372),MONTH(A1372),1))</f>
        <v/>
      </c>
    </row>
    <row r="1373" customFormat="false" ht="15" hidden="false" customHeight="false" outlineLevel="0" collapsed="false">
      <c r="A1373" s="22"/>
      <c r="B1373" s="23"/>
      <c r="C1373" s="23"/>
      <c r="D1373" s="24"/>
      <c r="E1373" s="23"/>
      <c r="F1373" s="15" t="str">
        <f aca="false">IF(B1373="","",IFERROR(INDEX(Configurações!$B$7:$B$30,MATCH(B1373,Configurações!$A$7:$A$30,0)),"?"))</f>
        <v/>
      </c>
      <c r="G1373" s="25" t="str">
        <f aca="false">IF(A1373="","",A1373-WEEKDAY(A1373,2)+1)</f>
        <v/>
      </c>
      <c r="H1373" s="26" t="str">
        <f aca="false">IF(A1373="","",DATE(YEAR(A1373),MONTH(A1373),1))</f>
        <v/>
      </c>
    </row>
    <row r="1374" customFormat="false" ht="15" hidden="false" customHeight="false" outlineLevel="0" collapsed="false">
      <c r="A1374" s="22"/>
      <c r="B1374" s="23"/>
      <c r="C1374" s="23"/>
      <c r="D1374" s="24"/>
      <c r="E1374" s="23"/>
      <c r="F1374" s="15" t="str">
        <f aca="false">IF(B1374="","",IFERROR(INDEX(Configurações!$B$7:$B$30,MATCH(B1374,Configurações!$A$7:$A$30,0)),"?"))</f>
        <v/>
      </c>
      <c r="G1374" s="25" t="str">
        <f aca="false">IF(A1374="","",A1374-WEEKDAY(A1374,2)+1)</f>
        <v/>
      </c>
      <c r="H1374" s="26" t="str">
        <f aca="false">IF(A1374="","",DATE(YEAR(A1374),MONTH(A1374),1))</f>
        <v/>
      </c>
    </row>
    <row r="1375" customFormat="false" ht="15" hidden="false" customHeight="false" outlineLevel="0" collapsed="false">
      <c r="A1375" s="22"/>
      <c r="B1375" s="23"/>
      <c r="C1375" s="23"/>
      <c r="D1375" s="24"/>
      <c r="E1375" s="23"/>
      <c r="F1375" s="15" t="str">
        <f aca="false">IF(B1375="","",IFERROR(INDEX(Configurações!$B$7:$B$30,MATCH(B1375,Configurações!$A$7:$A$30,0)),"?"))</f>
        <v/>
      </c>
      <c r="G1375" s="25" t="str">
        <f aca="false">IF(A1375="","",A1375-WEEKDAY(A1375,2)+1)</f>
        <v/>
      </c>
      <c r="H1375" s="26" t="str">
        <f aca="false">IF(A1375="","",DATE(YEAR(A1375),MONTH(A1375),1))</f>
        <v/>
      </c>
    </row>
    <row r="1376" customFormat="false" ht="15" hidden="false" customHeight="false" outlineLevel="0" collapsed="false">
      <c r="A1376" s="22"/>
      <c r="B1376" s="23"/>
      <c r="C1376" s="23"/>
      <c r="D1376" s="24"/>
      <c r="E1376" s="23"/>
      <c r="F1376" s="15" t="str">
        <f aca="false">IF(B1376="","",IFERROR(INDEX(Configurações!$B$7:$B$30,MATCH(B1376,Configurações!$A$7:$A$30,0)),"?"))</f>
        <v/>
      </c>
      <c r="G1376" s="25" t="str">
        <f aca="false">IF(A1376="","",A1376-WEEKDAY(A1376,2)+1)</f>
        <v/>
      </c>
      <c r="H1376" s="26" t="str">
        <f aca="false">IF(A1376="","",DATE(YEAR(A1376),MONTH(A1376),1))</f>
        <v/>
      </c>
    </row>
    <row r="1377" customFormat="false" ht="15" hidden="false" customHeight="false" outlineLevel="0" collapsed="false">
      <c r="A1377" s="22"/>
      <c r="B1377" s="23"/>
      <c r="C1377" s="23"/>
      <c r="D1377" s="24"/>
      <c r="E1377" s="23"/>
      <c r="F1377" s="15" t="str">
        <f aca="false">IF(B1377="","",IFERROR(INDEX(Configurações!$B$7:$B$30,MATCH(B1377,Configurações!$A$7:$A$30,0)),"?"))</f>
        <v/>
      </c>
      <c r="G1377" s="25" t="str">
        <f aca="false">IF(A1377="","",A1377-WEEKDAY(A1377,2)+1)</f>
        <v/>
      </c>
      <c r="H1377" s="26" t="str">
        <f aca="false">IF(A1377="","",DATE(YEAR(A1377),MONTH(A1377),1))</f>
        <v/>
      </c>
    </row>
    <row r="1378" customFormat="false" ht="15" hidden="false" customHeight="false" outlineLevel="0" collapsed="false">
      <c r="A1378" s="22"/>
      <c r="B1378" s="23"/>
      <c r="C1378" s="23"/>
      <c r="D1378" s="24"/>
      <c r="E1378" s="23"/>
      <c r="F1378" s="15" t="str">
        <f aca="false">IF(B1378="","",IFERROR(INDEX(Configurações!$B$7:$B$30,MATCH(B1378,Configurações!$A$7:$A$30,0)),"?"))</f>
        <v/>
      </c>
      <c r="G1378" s="25" t="str">
        <f aca="false">IF(A1378="","",A1378-WEEKDAY(A1378,2)+1)</f>
        <v/>
      </c>
      <c r="H1378" s="26" t="str">
        <f aca="false">IF(A1378="","",DATE(YEAR(A1378),MONTH(A1378),1))</f>
        <v/>
      </c>
    </row>
    <row r="1379" customFormat="false" ht="15" hidden="false" customHeight="false" outlineLevel="0" collapsed="false">
      <c r="A1379" s="22"/>
      <c r="B1379" s="23"/>
      <c r="C1379" s="23"/>
      <c r="D1379" s="24"/>
      <c r="E1379" s="23"/>
      <c r="F1379" s="15" t="str">
        <f aca="false">IF(B1379="","",IFERROR(INDEX(Configurações!$B$7:$B$30,MATCH(B1379,Configurações!$A$7:$A$30,0)),"?"))</f>
        <v/>
      </c>
      <c r="G1379" s="25" t="str">
        <f aca="false">IF(A1379="","",A1379-WEEKDAY(A1379,2)+1)</f>
        <v/>
      </c>
      <c r="H1379" s="26" t="str">
        <f aca="false">IF(A1379="","",DATE(YEAR(A1379),MONTH(A1379),1))</f>
        <v/>
      </c>
    </row>
    <row r="1380" customFormat="false" ht="15" hidden="false" customHeight="false" outlineLevel="0" collapsed="false">
      <c r="A1380" s="22"/>
      <c r="B1380" s="23"/>
      <c r="C1380" s="23"/>
      <c r="D1380" s="24"/>
      <c r="E1380" s="23"/>
      <c r="F1380" s="15" t="str">
        <f aca="false">IF(B1380="","",IFERROR(INDEX(Configurações!$B$7:$B$30,MATCH(B1380,Configurações!$A$7:$A$30,0)),"?"))</f>
        <v/>
      </c>
      <c r="G1380" s="25" t="str">
        <f aca="false">IF(A1380="","",A1380-WEEKDAY(A1380,2)+1)</f>
        <v/>
      </c>
      <c r="H1380" s="26" t="str">
        <f aca="false">IF(A1380="","",DATE(YEAR(A1380),MONTH(A1380),1))</f>
        <v/>
      </c>
    </row>
    <row r="1381" customFormat="false" ht="15" hidden="false" customHeight="false" outlineLevel="0" collapsed="false">
      <c r="A1381" s="22"/>
      <c r="B1381" s="23"/>
      <c r="C1381" s="23"/>
      <c r="D1381" s="24"/>
      <c r="E1381" s="23"/>
      <c r="F1381" s="15" t="str">
        <f aca="false">IF(B1381="","",IFERROR(INDEX(Configurações!$B$7:$B$30,MATCH(B1381,Configurações!$A$7:$A$30,0)),"?"))</f>
        <v/>
      </c>
      <c r="G1381" s="25" t="str">
        <f aca="false">IF(A1381="","",A1381-WEEKDAY(A1381,2)+1)</f>
        <v/>
      </c>
      <c r="H1381" s="26" t="str">
        <f aca="false">IF(A1381="","",DATE(YEAR(A1381),MONTH(A1381),1))</f>
        <v/>
      </c>
    </row>
    <row r="1382" customFormat="false" ht="15" hidden="false" customHeight="false" outlineLevel="0" collapsed="false">
      <c r="A1382" s="22"/>
      <c r="B1382" s="23"/>
      <c r="C1382" s="23"/>
      <c r="D1382" s="24"/>
      <c r="E1382" s="23"/>
      <c r="F1382" s="15" t="str">
        <f aca="false">IF(B1382="","",IFERROR(INDEX(Configurações!$B$7:$B$30,MATCH(B1382,Configurações!$A$7:$A$30,0)),"?"))</f>
        <v/>
      </c>
      <c r="G1382" s="25" t="str">
        <f aca="false">IF(A1382="","",A1382-WEEKDAY(A1382,2)+1)</f>
        <v/>
      </c>
      <c r="H1382" s="26" t="str">
        <f aca="false">IF(A1382="","",DATE(YEAR(A1382),MONTH(A1382),1))</f>
        <v/>
      </c>
    </row>
    <row r="1383" customFormat="false" ht="15" hidden="false" customHeight="false" outlineLevel="0" collapsed="false">
      <c r="A1383" s="22"/>
      <c r="B1383" s="23"/>
      <c r="C1383" s="23"/>
      <c r="D1383" s="24"/>
      <c r="E1383" s="23"/>
      <c r="F1383" s="15" t="str">
        <f aca="false">IF(B1383="","",IFERROR(INDEX(Configurações!$B$7:$B$30,MATCH(B1383,Configurações!$A$7:$A$30,0)),"?"))</f>
        <v/>
      </c>
      <c r="G1383" s="25" t="str">
        <f aca="false">IF(A1383="","",A1383-WEEKDAY(A1383,2)+1)</f>
        <v/>
      </c>
      <c r="H1383" s="26" t="str">
        <f aca="false">IF(A1383="","",DATE(YEAR(A1383),MONTH(A1383),1))</f>
        <v/>
      </c>
    </row>
    <row r="1384" customFormat="false" ht="15" hidden="false" customHeight="false" outlineLevel="0" collapsed="false">
      <c r="A1384" s="22"/>
      <c r="B1384" s="23"/>
      <c r="C1384" s="23"/>
      <c r="D1384" s="24"/>
      <c r="E1384" s="23"/>
      <c r="F1384" s="15" t="str">
        <f aca="false">IF(B1384="","",IFERROR(INDEX(Configurações!$B$7:$B$30,MATCH(B1384,Configurações!$A$7:$A$30,0)),"?"))</f>
        <v/>
      </c>
      <c r="G1384" s="25" t="str">
        <f aca="false">IF(A1384="","",A1384-WEEKDAY(A1384,2)+1)</f>
        <v/>
      </c>
      <c r="H1384" s="26" t="str">
        <f aca="false">IF(A1384="","",DATE(YEAR(A1384),MONTH(A1384),1))</f>
        <v/>
      </c>
    </row>
    <row r="1385" customFormat="false" ht="15" hidden="false" customHeight="false" outlineLevel="0" collapsed="false">
      <c r="A1385" s="22"/>
      <c r="B1385" s="23"/>
      <c r="C1385" s="23"/>
      <c r="D1385" s="24"/>
      <c r="E1385" s="23"/>
      <c r="F1385" s="15" t="str">
        <f aca="false">IF(B1385="","",IFERROR(INDEX(Configurações!$B$7:$B$30,MATCH(B1385,Configurações!$A$7:$A$30,0)),"?"))</f>
        <v/>
      </c>
      <c r="G1385" s="25" t="str">
        <f aca="false">IF(A1385="","",A1385-WEEKDAY(A1385,2)+1)</f>
        <v/>
      </c>
      <c r="H1385" s="26" t="str">
        <f aca="false">IF(A1385="","",DATE(YEAR(A1385),MONTH(A1385),1))</f>
        <v/>
      </c>
    </row>
    <row r="1386" customFormat="false" ht="15" hidden="false" customHeight="false" outlineLevel="0" collapsed="false">
      <c r="A1386" s="22"/>
      <c r="B1386" s="23"/>
      <c r="C1386" s="23"/>
      <c r="D1386" s="24"/>
      <c r="E1386" s="23"/>
      <c r="F1386" s="15" t="str">
        <f aca="false">IF(B1386="","",IFERROR(INDEX(Configurações!$B$7:$B$30,MATCH(B1386,Configurações!$A$7:$A$30,0)),"?"))</f>
        <v/>
      </c>
      <c r="G1386" s="25" t="str">
        <f aca="false">IF(A1386="","",A1386-WEEKDAY(A1386,2)+1)</f>
        <v/>
      </c>
      <c r="H1386" s="26" t="str">
        <f aca="false">IF(A1386="","",DATE(YEAR(A1386),MONTH(A1386),1))</f>
        <v/>
      </c>
    </row>
    <row r="1387" customFormat="false" ht="15" hidden="false" customHeight="false" outlineLevel="0" collapsed="false">
      <c r="A1387" s="22"/>
      <c r="B1387" s="23"/>
      <c r="C1387" s="23"/>
      <c r="D1387" s="24"/>
      <c r="E1387" s="23"/>
      <c r="F1387" s="15" t="str">
        <f aca="false">IF(B1387="","",IFERROR(INDEX(Configurações!$B$7:$B$30,MATCH(B1387,Configurações!$A$7:$A$30,0)),"?"))</f>
        <v/>
      </c>
      <c r="G1387" s="25" t="str">
        <f aca="false">IF(A1387="","",A1387-WEEKDAY(A1387,2)+1)</f>
        <v/>
      </c>
      <c r="H1387" s="26" t="str">
        <f aca="false">IF(A1387="","",DATE(YEAR(A1387),MONTH(A1387),1))</f>
        <v/>
      </c>
    </row>
    <row r="1388" customFormat="false" ht="15" hidden="false" customHeight="false" outlineLevel="0" collapsed="false">
      <c r="A1388" s="22"/>
      <c r="B1388" s="23"/>
      <c r="C1388" s="23"/>
      <c r="D1388" s="24"/>
      <c r="E1388" s="23"/>
      <c r="F1388" s="15" t="str">
        <f aca="false">IF(B1388="","",IFERROR(INDEX(Configurações!$B$7:$B$30,MATCH(B1388,Configurações!$A$7:$A$30,0)),"?"))</f>
        <v/>
      </c>
      <c r="G1388" s="25" t="str">
        <f aca="false">IF(A1388="","",A1388-WEEKDAY(A1388,2)+1)</f>
        <v/>
      </c>
      <c r="H1388" s="26" t="str">
        <f aca="false">IF(A1388="","",DATE(YEAR(A1388),MONTH(A1388),1))</f>
        <v/>
      </c>
    </row>
    <row r="1389" customFormat="false" ht="15" hidden="false" customHeight="false" outlineLevel="0" collapsed="false">
      <c r="A1389" s="22"/>
      <c r="B1389" s="23"/>
      <c r="C1389" s="23"/>
      <c r="D1389" s="24"/>
      <c r="E1389" s="23"/>
      <c r="F1389" s="15" t="str">
        <f aca="false">IF(B1389="","",IFERROR(INDEX(Configurações!$B$7:$B$30,MATCH(B1389,Configurações!$A$7:$A$30,0)),"?"))</f>
        <v/>
      </c>
      <c r="G1389" s="25" t="str">
        <f aca="false">IF(A1389="","",A1389-WEEKDAY(A1389,2)+1)</f>
        <v/>
      </c>
      <c r="H1389" s="26" t="str">
        <f aca="false">IF(A1389="","",DATE(YEAR(A1389),MONTH(A1389),1))</f>
        <v/>
      </c>
    </row>
    <row r="1390" customFormat="false" ht="15" hidden="false" customHeight="false" outlineLevel="0" collapsed="false">
      <c r="A1390" s="22"/>
      <c r="B1390" s="23"/>
      <c r="C1390" s="23"/>
      <c r="D1390" s="24"/>
      <c r="E1390" s="23"/>
      <c r="F1390" s="15" t="str">
        <f aca="false">IF(B1390="","",IFERROR(INDEX(Configurações!$B$7:$B$30,MATCH(B1390,Configurações!$A$7:$A$30,0)),"?"))</f>
        <v/>
      </c>
      <c r="G1390" s="25" t="str">
        <f aca="false">IF(A1390="","",A1390-WEEKDAY(A1390,2)+1)</f>
        <v/>
      </c>
      <c r="H1390" s="26" t="str">
        <f aca="false">IF(A1390="","",DATE(YEAR(A1390),MONTH(A1390),1))</f>
        <v/>
      </c>
    </row>
    <row r="1391" customFormat="false" ht="15" hidden="false" customHeight="false" outlineLevel="0" collapsed="false">
      <c r="A1391" s="22"/>
      <c r="B1391" s="23"/>
      <c r="C1391" s="23"/>
      <c r="D1391" s="24"/>
      <c r="E1391" s="23"/>
      <c r="F1391" s="15" t="str">
        <f aca="false">IF(B1391="","",IFERROR(INDEX(Configurações!$B$7:$B$30,MATCH(B1391,Configurações!$A$7:$A$30,0)),"?"))</f>
        <v/>
      </c>
      <c r="G1391" s="25" t="str">
        <f aca="false">IF(A1391="","",A1391-WEEKDAY(A1391,2)+1)</f>
        <v/>
      </c>
      <c r="H1391" s="26" t="str">
        <f aca="false">IF(A1391="","",DATE(YEAR(A1391),MONTH(A1391),1))</f>
        <v/>
      </c>
    </row>
    <row r="1392" customFormat="false" ht="15" hidden="false" customHeight="false" outlineLevel="0" collapsed="false">
      <c r="A1392" s="22"/>
      <c r="B1392" s="23"/>
      <c r="C1392" s="23"/>
      <c r="D1392" s="24"/>
      <c r="E1392" s="23"/>
      <c r="F1392" s="15" t="str">
        <f aca="false">IF(B1392="","",IFERROR(INDEX(Configurações!$B$7:$B$30,MATCH(B1392,Configurações!$A$7:$A$30,0)),"?"))</f>
        <v/>
      </c>
      <c r="G1392" s="25" t="str">
        <f aca="false">IF(A1392="","",A1392-WEEKDAY(A1392,2)+1)</f>
        <v/>
      </c>
      <c r="H1392" s="26" t="str">
        <f aca="false">IF(A1392="","",DATE(YEAR(A1392),MONTH(A1392),1))</f>
        <v/>
      </c>
    </row>
    <row r="1393" customFormat="false" ht="15" hidden="false" customHeight="false" outlineLevel="0" collapsed="false">
      <c r="A1393" s="22"/>
      <c r="B1393" s="23"/>
      <c r="C1393" s="23"/>
      <c r="D1393" s="24"/>
      <c r="E1393" s="23"/>
      <c r="F1393" s="15" t="str">
        <f aca="false">IF(B1393="","",IFERROR(INDEX(Configurações!$B$7:$B$30,MATCH(B1393,Configurações!$A$7:$A$30,0)),"?"))</f>
        <v/>
      </c>
      <c r="G1393" s="25" t="str">
        <f aca="false">IF(A1393="","",A1393-WEEKDAY(A1393,2)+1)</f>
        <v/>
      </c>
      <c r="H1393" s="26" t="str">
        <f aca="false">IF(A1393="","",DATE(YEAR(A1393),MONTH(A1393),1))</f>
        <v/>
      </c>
    </row>
    <row r="1394" customFormat="false" ht="15" hidden="false" customHeight="false" outlineLevel="0" collapsed="false">
      <c r="A1394" s="22"/>
      <c r="B1394" s="23"/>
      <c r="C1394" s="23"/>
      <c r="D1394" s="24"/>
      <c r="E1394" s="23"/>
      <c r="F1394" s="15" t="str">
        <f aca="false">IF(B1394="","",IFERROR(INDEX(Configurações!$B$7:$B$30,MATCH(B1394,Configurações!$A$7:$A$30,0)),"?"))</f>
        <v/>
      </c>
      <c r="G1394" s="25" t="str">
        <f aca="false">IF(A1394="","",A1394-WEEKDAY(A1394,2)+1)</f>
        <v/>
      </c>
      <c r="H1394" s="26" t="str">
        <f aca="false">IF(A1394="","",DATE(YEAR(A1394),MONTH(A1394),1))</f>
        <v/>
      </c>
    </row>
    <row r="1395" customFormat="false" ht="15" hidden="false" customHeight="false" outlineLevel="0" collapsed="false">
      <c r="A1395" s="22"/>
      <c r="B1395" s="23"/>
      <c r="C1395" s="23"/>
      <c r="D1395" s="24"/>
      <c r="E1395" s="23"/>
      <c r="F1395" s="15" t="str">
        <f aca="false">IF(B1395="","",IFERROR(INDEX(Configurações!$B$7:$B$30,MATCH(B1395,Configurações!$A$7:$A$30,0)),"?"))</f>
        <v/>
      </c>
      <c r="G1395" s="25" t="str">
        <f aca="false">IF(A1395="","",A1395-WEEKDAY(A1395,2)+1)</f>
        <v/>
      </c>
      <c r="H1395" s="26" t="str">
        <f aca="false">IF(A1395="","",DATE(YEAR(A1395),MONTH(A1395),1))</f>
        <v/>
      </c>
    </row>
    <row r="1396" customFormat="false" ht="15" hidden="false" customHeight="false" outlineLevel="0" collapsed="false">
      <c r="A1396" s="22"/>
      <c r="B1396" s="23"/>
      <c r="C1396" s="23"/>
      <c r="D1396" s="24"/>
      <c r="E1396" s="23"/>
      <c r="F1396" s="15" t="str">
        <f aca="false">IF(B1396="","",IFERROR(INDEX(Configurações!$B$7:$B$30,MATCH(B1396,Configurações!$A$7:$A$30,0)),"?"))</f>
        <v/>
      </c>
      <c r="G1396" s="25" t="str">
        <f aca="false">IF(A1396="","",A1396-WEEKDAY(A1396,2)+1)</f>
        <v/>
      </c>
      <c r="H1396" s="26" t="str">
        <f aca="false">IF(A1396="","",DATE(YEAR(A1396),MONTH(A1396),1))</f>
        <v/>
      </c>
    </row>
    <row r="1397" customFormat="false" ht="15" hidden="false" customHeight="false" outlineLevel="0" collapsed="false">
      <c r="A1397" s="22"/>
      <c r="B1397" s="23"/>
      <c r="C1397" s="23"/>
      <c r="D1397" s="24"/>
      <c r="E1397" s="23"/>
      <c r="F1397" s="15" t="str">
        <f aca="false">IF(B1397="","",IFERROR(INDEX(Configurações!$B$7:$B$30,MATCH(B1397,Configurações!$A$7:$A$30,0)),"?"))</f>
        <v/>
      </c>
      <c r="G1397" s="25" t="str">
        <f aca="false">IF(A1397="","",A1397-WEEKDAY(A1397,2)+1)</f>
        <v/>
      </c>
      <c r="H1397" s="26" t="str">
        <f aca="false">IF(A1397="","",DATE(YEAR(A1397),MONTH(A1397),1))</f>
        <v/>
      </c>
    </row>
    <row r="1398" customFormat="false" ht="15" hidden="false" customHeight="false" outlineLevel="0" collapsed="false">
      <c r="A1398" s="22"/>
      <c r="B1398" s="23"/>
      <c r="C1398" s="23"/>
      <c r="D1398" s="24"/>
      <c r="E1398" s="23"/>
      <c r="F1398" s="15" t="str">
        <f aca="false">IF(B1398="","",IFERROR(INDEX(Configurações!$B$7:$B$30,MATCH(B1398,Configurações!$A$7:$A$30,0)),"?"))</f>
        <v/>
      </c>
      <c r="G1398" s="25" t="str">
        <f aca="false">IF(A1398="","",A1398-WEEKDAY(A1398,2)+1)</f>
        <v/>
      </c>
      <c r="H1398" s="26" t="str">
        <f aca="false">IF(A1398="","",DATE(YEAR(A1398),MONTH(A1398),1))</f>
        <v/>
      </c>
    </row>
    <row r="1399" customFormat="false" ht="15" hidden="false" customHeight="false" outlineLevel="0" collapsed="false">
      <c r="A1399" s="22"/>
      <c r="B1399" s="23"/>
      <c r="C1399" s="23"/>
      <c r="D1399" s="24"/>
      <c r="E1399" s="23"/>
      <c r="F1399" s="15" t="str">
        <f aca="false">IF(B1399="","",IFERROR(INDEX(Configurações!$B$7:$B$30,MATCH(B1399,Configurações!$A$7:$A$30,0)),"?"))</f>
        <v/>
      </c>
      <c r="G1399" s="25" t="str">
        <f aca="false">IF(A1399="","",A1399-WEEKDAY(A1399,2)+1)</f>
        <v/>
      </c>
      <c r="H1399" s="26" t="str">
        <f aca="false">IF(A1399="","",DATE(YEAR(A1399),MONTH(A1399),1))</f>
        <v/>
      </c>
    </row>
    <row r="1400" customFormat="false" ht="15" hidden="false" customHeight="false" outlineLevel="0" collapsed="false">
      <c r="A1400" s="22"/>
      <c r="B1400" s="23"/>
      <c r="C1400" s="23"/>
      <c r="D1400" s="24"/>
      <c r="E1400" s="23"/>
      <c r="F1400" s="15" t="str">
        <f aca="false">IF(B1400="","",IFERROR(INDEX(Configurações!$B$7:$B$30,MATCH(B1400,Configurações!$A$7:$A$30,0)),"?"))</f>
        <v/>
      </c>
      <c r="G1400" s="25" t="str">
        <f aca="false">IF(A1400="","",A1400-WEEKDAY(A1400,2)+1)</f>
        <v/>
      </c>
      <c r="H1400" s="26" t="str">
        <f aca="false">IF(A1400="","",DATE(YEAR(A1400),MONTH(A1400),1))</f>
        <v/>
      </c>
    </row>
    <row r="1401" customFormat="false" ht="15" hidden="false" customHeight="false" outlineLevel="0" collapsed="false">
      <c r="A1401" s="22"/>
      <c r="B1401" s="23"/>
      <c r="C1401" s="23"/>
      <c r="D1401" s="24"/>
      <c r="E1401" s="23"/>
      <c r="F1401" s="15" t="str">
        <f aca="false">IF(B1401="","",IFERROR(INDEX(Configurações!$B$7:$B$30,MATCH(B1401,Configurações!$A$7:$A$30,0)),"?"))</f>
        <v/>
      </c>
      <c r="G1401" s="25" t="str">
        <f aca="false">IF(A1401="","",A1401-WEEKDAY(A1401,2)+1)</f>
        <v/>
      </c>
      <c r="H1401" s="26" t="str">
        <f aca="false">IF(A1401="","",DATE(YEAR(A1401),MONTH(A1401),1))</f>
        <v/>
      </c>
    </row>
    <row r="1402" customFormat="false" ht="15" hidden="false" customHeight="false" outlineLevel="0" collapsed="false">
      <c r="A1402" s="22"/>
      <c r="B1402" s="23"/>
      <c r="C1402" s="23"/>
      <c r="D1402" s="24"/>
      <c r="E1402" s="23"/>
      <c r="F1402" s="15" t="str">
        <f aca="false">IF(B1402="","",IFERROR(INDEX(Configurações!$B$7:$B$30,MATCH(B1402,Configurações!$A$7:$A$30,0)),"?"))</f>
        <v/>
      </c>
      <c r="G1402" s="25" t="str">
        <f aca="false">IF(A1402="","",A1402-WEEKDAY(A1402,2)+1)</f>
        <v/>
      </c>
      <c r="H1402" s="26" t="str">
        <f aca="false">IF(A1402="","",DATE(YEAR(A1402),MONTH(A1402),1))</f>
        <v/>
      </c>
    </row>
    <row r="1403" customFormat="false" ht="15" hidden="false" customHeight="false" outlineLevel="0" collapsed="false">
      <c r="A1403" s="22"/>
      <c r="B1403" s="23"/>
      <c r="C1403" s="23"/>
      <c r="D1403" s="24"/>
      <c r="E1403" s="23"/>
      <c r="F1403" s="15" t="str">
        <f aca="false">IF(B1403="","",IFERROR(INDEX(Configurações!$B$7:$B$30,MATCH(B1403,Configurações!$A$7:$A$30,0)),"?"))</f>
        <v/>
      </c>
      <c r="G1403" s="25" t="str">
        <f aca="false">IF(A1403="","",A1403-WEEKDAY(A1403,2)+1)</f>
        <v/>
      </c>
      <c r="H1403" s="26" t="str">
        <f aca="false">IF(A1403="","",DATE(YEAR(A1403),MONTH(A1403),1))</f>
        <v/>
      </c>
    </row>
    <row r="1404" customFormat="false" ht="15" hidden="false" customHeight="false" outlineLevel="0" collapsed="false">
      <c r="A1404" s="22"/>
      <c r="B1404" s="23"/>
      <c r="C1404" s="23"/>
      <c r="D1404" s="24"/>
      <c r="E1404" s="23"/>
      <c r="F1404" s="15" t="str">
        <f aca="false">IF(B1404="","",IFERROR(INDEX(Configurações!$B$7:$B$30,MATCH(B1404,Configurações!$A$7:$A$30,0)),"?"))</f>
        <v/>
      </c>
      <c r="G1404" s="25" t="str">
        <f aca="false">IF(A1404="","",A1404-WEEKDAY(A1404,2)+1)</f>
        <v/>
      </c>
      <c r="H1404" s="26" t="str">
        <f aca="false">IF(A1404="","",DATE(YEAR(A1404),MONTH(A1404),1))</f>
        <v/>
      </c>
    </row>
    <row r="1405" customFormat="false" ht="15" hidden="false" customHeight="false" outlineLevel="0" collapsed="false">
      <c r="A1405" s="22"/>
      <c r="B1405" s="23"/>
      <c r="C1405" s="23"/>
      <c r="D1405" s="24"/>
      <c r="E1405" s="23"/>
      <c r="F1405" s="15" t="str">
        <f aca="false">IF(B1405="","",IFERROR(INDEX(Configurações!$B$7:$B$30,MATCH(B1405,Configurações!$A$7:$A$30,0)),"?"))</f>
        <v/>
      </c>
      <c r="G1405" s="25" t="str">
        <f aca="false">IF(A1405="","",A1405-WEEKDAY(A1405,2)+1)</f>
        <v/>
      </c>
      <c r="H1405" s="26" t="str">
        <f aca="false">IF(A1405="","",DATE(YEAR(A1405),MONTH(A1405),1))</f>
        <v/>
      </c>
    </row>
    <row r="1406" customFormat="false" ht="15" hidden="false" customHeight="false" outlineLevel="0" collapsed="false">
      <c r="A1406" s="22"/>
      <c r="B1406" s="23"/>
      <c r="C1406" s="23"/>
      <c r="D1406" s="24"/>
      <c r="E1406" s="23"/>
      <c r="F1406" s="15" t="str">
        <f aca="false">IF(B1406="","",IFERROR(INDEX(Configurações!$B$7:$B$30,MATCH(B1406,Configurações!$A$7:$A$30,0)),"?"))</f>
        <v/>
      </c>
      <c r="G1406" s="25" t="str">
        <f aca="false">IF(A1406="","",A1406-WEEKDAY(A1406,2)+1)</f>
        <v/>
      </c>
      <c r="H1406" s="26" t="str">
        <f aca="false">IF(A1406="","",DATE(YEAR(A1406),MONTH(A1406),1))</f>
        <v/>
      </c>
    </row>
    <row r="1407" customFormat="false" ht="15" hidden="false" customHeight="false" outlineLevel="0" collapsed="false">
      <c r="A1407" s="22"/>
      <c r="B1407" s="23"/>
      <c r="C1407" s="23"/>
      <c r="D1407" s="24"/>
      <c r="E1407" s="23"/>
      <c r="F1407" s="15" t="str">
        <f aca="false">IF(B1407="","",IFERROR(INDEX(Configurações!$B$7:$B$30,MATCH(B1407,Configurações!$A$7:$A$30,0)),"?"))</f>
        <v/>
      </c>
      <c r="G1407" s="25" t="str">
        <f aca="false">IF(A1407="","",A1407-WEEKDAY(A1407,2)+1)</f>
        <v/>
      </c>
      <c r="H1407" s="26" t="str">
        <f aca="false">IF(A1407="","",DATE(YEAR(A1407),MONTH(A1407),1))</f>
        <v/>
      </c>
    </row>
    <row r="1408" customFormat="false" ht="15" hidden="false" customHeight="false" outlineLevel="0" collapsed="false">
      <c r="A1408" s="22"/>
      <c r="B1408" s="23"/>
      <c r="C1408" s="23"/>
      <c r="D1408" s="24"/>
      <c r="E1408" s="23"/>
      <c r="F1408" s="15" t="str">
        <f aca="false">IF(B1408="","",IFERROR(INDEX(Configurações!$B$7:$B$30,MATCH(B1408,Configurações!$A$7:$A$30,0)),"?"))</f>
        <v/>
      </c>
      <c r="G1408" s="25" t="str">
        <f aca="false">IF(A1408="","",A1408-WEEKDAY(A1408,2)+1)</f>
        <v/>
      </c>
      <c r="H1408" s="26" t="str">
        <f aca="false">IF(A1408="","",DATE(YEAR(A1408),MONTH(A1408),1))</f>
        <v/>
      </c>
    </row>
    <row r="1409" customFormat="false" ht="15" hidden="false" customHeight="false" outlineLevel="0" collapsed="false">
      <c r="A1409" s="22"/>
      <c r="B1409" s="23"/>
      <c r="C1409" s="23"/>
      <c r="D1409" s="24"/>
      <c r="E1409" s="23"/>
      <c r="F1409" s="15" t="str">
        <f aca="false">IF(B1409="","",IFERROR(INDEX(Configurações!$B$7:$B$30,MATCH(B1409,Configurações!$A$7:$A$30,0)),"?"))</f>
        <v/>
      </c>
      <c r="G1409" s="25" t="str">
        <f aca="false">IF(A1409="","",A1409-WEEKDAY(A1409,2)+1)</f>
        <v/>
      </c>
      <c r="H1409" s="26" t="str">
        <f aca="false">IF(A1409="","",DATE(YEAR(A1409),MONTH(A1409),1))</f>
        <v/>
      </c>
    </row>
    <row r="1410" customFormat="false" ht="15" hidden="false" customHeight="false" outlineLevel="0" collapsed="false">
      <c r="A1410" s="22"/>
      <c r="B1410" s="23"/>
      <c r="C1410" s="23"/>
      <c r="D1410" s="24"/>
      <c r="E1410" s="23"/>
      <c r="F1410" s="15" t="str">
        <f aca="false">IF(B1410="","",IFERROR(INDEX(Configurações!$B$7:$B$30,MATCH(B1410,Configurações!$A$7:$A$30,0)),"?"))</f>
        <v/>
      </c>
      <c r="G1410" s="25" t="str">
        <f aca="false">IF(A1410="","",A1410-WEEKDAY(A1410,2)+1)</f>
        <v/>
      </c>
      <c r="H1410" s="26" t="str">
        <f aca="false">IF(A1410="","",DATE(YEAR(A1410),MONTH(A1410),1))</f>
        <v/>
      </c>
    </row>
    <row r="1411" customFormat="false" ht="15" hidden="false" customHeight="false" outlineLevel="0" collapsed="false">
      <c r="A1411" s="22"/>
      <c r="B1411" s="23"/>
      <c r="C1411" s="23"/>
      <c r="D1411" s="24"/>
      <c r="E1411" s="23"/>
      <c r="F1411" s="15" t="str">
        <f aca="false">IF(B1411="","",IFERROR(INDEX(Configurações!$B$7:$B$30,MATCH(B1411,Configurações!$A$7:$A$30,0)),"?"))</f>
        <v/>
      </c>
      <c r="G1411" s="25" t="str">
        <f aca="false">IF(A1411="","",A1411-WEEKDAY(A1411,2)+1)</f>
        <v/>
      </c>
      <c r="H1411" s="26" t="str">
        <f aca="false">IF(A1411="","",DATE(YEAR(A1411),MONTH(A1411),1))</f>
        <v/>
      </c>
    </row>
    <row r="1412" customFormat="false" ht="15" hidden="false" customHeight="false" outlineLevel="0" collapsed="false">
      <c r="A1412" s="22"/>
      <c r="B1412" s="23"/>
      <c r="C1412" s="23"/>
      <c r="D1412" s="24"/>
      <c r="E1412" s="23"/>
      <c r="F1412" s="15" t="str">
        <f aca="false">IF(B1412="","",IFERROR(INDEX(Configurações!$B$7:$B$30,MATCH(B1412,Configurações!$A$7:$A$30,0)),"?"))</f>
        <v/>
      </c>
      <c r="G1412" s="25" t="str">
        <f aca="false">IF(A1412="","",A1412-WEEKDAY(A1412,2)+1)</f>
        <v/>
      </c>
      <c r="H1412" s="26" t="str">
        <f aca="false">IF(A1412="","",DATE(YEAR(A1412),MONTH(A1412),1))</f>
        <v/>
      </c>
    </row>
    <row r="1413" customFormat="false" ht="15" hidden="false" customHeight="false" outlineLevel="0" collapsed="false">
      <c r="A1413" s="22"/>
      <c r="B1413" s="23"/>
      <c r="C1413" s="23"/>
      <c r="D1413" s="24"/>
      <c r="E1413" s="23"/>
      <c r="F1413" s="15" t="str">
        <f aca="false">IF(B1413="","",IFERROR(INDEX(Configurações!$B$7:$B$30,MATCH(B1413,Configurações!$A$7:$A$30,0)),"?"))</f>
        <v/>
      </c>
      <c r="G1413" s="25" t="str">
        <f aca="false">IF(A1413="","",A1413-WEEKDAY(A1413,2)+1)</f>
        <v/>
      </c>
      <c r="H1413" s="26" t="str">
        <f aca="false">IF(A1413="","",DATE(YEAR(A1413),MONTH(A1413),1))</f>
        <v/>
      </c>
    </row>
    <row r="1414" customFormat="false" ht="15" hidden="false" customHeight="false" outlineLevel="0" collapsed="false">
      <c r="A1414" s="22"/>
      <c r="B1414" s="23"/>
      <c r="C1414" s="23"/>
      <c r="D1414" s="24"/>
      <c r="E1414" s="23"/>
      <c r="F1414" s="15" t="str">
        <f aca="false">IF(B1414="","",IFERROR(INDEX(Configurações!$B$7:$B$30,MATCH(B1414,Configurações!$A$7:$A$30,0)),"?"))</f>
        <v/>
      </c>
      <c r="G1414" s="25" t="str">
        <f aca="false">IF(A1414="","",A1414-WEEKDAY(A1414,2)+1)</f>
        <v/>
      </c>
      <c r="H1414" s="26" t="str">
        <f aca="false">IF(A1414="","",DATE(YEAR(A1414),MONTH(A1414),1))</f>
        <v/>
      </c>
    </row>
    <row r="1415" customFormat="false" ht="15" hidden="false" customHeight="false" outlineLevel="0" collapsed="false">
      <c r="A1415" s="22"/>
      <c r="B1415" s="23"/>
      <c r="C1415" s="23"/>
      <c r="D1415" s="24"/>
      <c r="E1415" s="23"/>
      <c r="F1415" s="15" t="str">
        <f aca="false">IF(B1415="","",IFERROR(INDEX(Configurações!$B$7:$B$30,MATCH(B1415,Configurações!$A$7:$A$30,0)),"?"))</f>
        <v/>
      </c>
      <c r="G1415" s="25" t="str">
        <f aca="false">IF(A1415="","",A1415-WEEKDAY(A1415,2)+1)</f>
        <v/>
      </c>
      <c r="H1415" s="26" t="str">
        <f aca="false">IF(A1415="","",DATE(YEAR(A1415),MONTH(A1415),1))</f>
        <v/>
      </c>
    </row>
    <row r="1416" customFormat="false" ht="15" hidden="false" customHeight="false" outlineLevel="0" collapsed="false">
      <c r="A1416" s="22"/>
      <c r="B1416" s="23"/>
      <c r="C1416" s="23"/>
      <c r="D1416" s="24"/>
      <c r="E1416" s="23"/>
      <c r="F1416" s="15" t="str">
        <f aca="false">IF(B1416="","",IFERROR(INDEX(Configurações!$B$7:$B$30,MATCH(B1416,Configurações!$A$7:$A$30,0)),"?"))</f>
        <v/>
      </c>
      <c r="G1416" s="25" t="str">
        <f aca="false">IF(A1416="","",A1416-WEEKDAY(A1416,2)+1)</f>
        <v/>
      </c>
      <c r="H1416" s="26" t="str">
        <f aca="false">IF(A1416="","",DATE(YEAR(A1416),MONTH(A1416),1))</f>
        <v/>
      </c>
    </row>
    <row r="1417" customFormat="false" ht="15" hidden="false" customHeight="false" outlineLevel="0" collapsed="false">
      <c r="A1417" s="22"/>
      <c r="B1417" s="23"/>
      <c r="C1417" s="23"/>
      <c r="D1417" s="24"/>
      <c r="E1417" s="23"/>
      <c r="F1417" s="15" t="str">
        <f aca="false">IF(B1417="","",IFERROR(INDEX(Configurações!$B$7:$B$30,MATCH(B1417,Configurações!$A$7:$A$30,0)),"?"))</f>
        <v/>
      </c>
      <c r="G1417" s="25" t="str">
        <f aca="false">IF(A1417="","",A1417-WEEKDAY(A1417,2)+1)</f>
        <v/>
      </c>
      <c r="H1417" s="26" t="str">
        <f aca="false">IF(A1417="","",DATE(YEAR(A1417),MONTH(A1417),1))</f>
        <v/>
      </c>
    </row>
    <row r="1418" customFormat="false" ht="15" hidden="false" customHeight="false" outlineLevel="0" collapsed="false">
      <c r="A1418" s="22"/>
      <c r="B1418" s="23"/>
      <c r="C1418" s="23"/>
      <c r="D1418" s="24"/>
      <c r="E1418" s="23"/>
      <c r="F1418" s="15" t="str">
        <f aca="false">IF(B1418="","",IFERROR(INDEX(Configurações!$B$7:$B$30,MATCH(B1418,Configurações!$A$7:$A$30,0)),"?"))</f>
        <v/>
      </c>
      <c r="G1418" s="25" t="str">
        <f aca="false">IF(A1418="","",A1418-WEEKDAY(A1418,2)+1)</f>
        <v/>
      </c>
      <c r="H1418" s="26" t="str">
        <f aca="false">IF(A1418="","",DATE(YEAR(A1418),MONTH(A1418),1))</f>
        <v/>
      </c>
    </row>
    <row r="1419" customFormat="false" ht="15" hidden="false" customHeight="false" outlineLevel="0" collapsed="false">
      <c r="A1419" s="22"/>
      <c r="B1419" s="23"/>
      <c r="C1419" s="23"/>
      <c r="D1419" s="24"/>
      <c r="E1419" s="23"/>
      <c r="F1419" s="15" t="str">
        <f aca="false">IF(B1419="","",IFERROR(INDEX(Configurações!$B$7:$B$30,MATCH(B1419,Configurações!$A$7:$A$30,0)),"?"))</f>
        <v/>
      </c>
      <c r="G1419" s="25" t="str">
        <f aca="false">IF(A1419="","",A1419-WEEKDAY(A1419,2)+1)</f>
        <v/>
      </c>
      <c r="H1419" s="26" t="str">
        <f aca="false">IF(A1419="","",DATE(YEAR(A1419),MONTH(A1419),1))</f>
        <v/>
      </c>
    </row>
    <row r="1420" customFormat="false" ht="15" hidden="false" customHeight="false" outlineLevel="0" collapsed="false">
      <c r="A1420" s="22"/>
      <c r="B1420" s="23"/>
      <c r="C1420" s="23"/>
      <c r="D1420" s="24"/>
      <c r="E1420" s="23"/>
      <c r="F1420" s="15" t="str">
        <f aca="false">IF(B1420="","",IFERROR(INDEX(Configurações!$B$7:$B$30,MATCH(B1420,Configurações!$A$7:$A$30,0)),"?"))</f>
        <v/>
      </c>
      <c r="G1420" s="25" t="str">
        <f aca="false">IF(A1420="","",A1420-WEEKDAY(A1420,2)+1)</f>
        <v/>
      </c>
      <c r="H1420" s="26" t="str">
        <f aca="false">IF(A1420="","",DATE(YEAR(A1420),MONTH(A1420),1))</f>
        <v/>
      </c>
    </row>
    <row r="1421" customFormat="false" ht="15" hidden="false" customHeight="false" outlineLevel="0" collapsed="false">
      <c r="A1421" s="22"/>
      <c r="B1421" s="23"/>
      <c r="C1421" s="23"/>
      <c r="D1421" s="24"/>
      <c r="E1421" s="23"/>
      <c r="F1421" s="15" t="str">
        <f aca="false">IF(B1421="","",IFERROR(INDEX(Configurações!$B$7:$B$30,MATCH(B1421,Configurações!$A$7:$A$30,0)),"?"))</f>
        <v/>
      </c>
      <c r="G1421" s="25" t="str">
        <f aca="false">IF(A1421="","",A1421-WEEKDAY(A1421,2)+1)</f>
        <v/>
      </c>
      <c r="H1421" s="26" t="str">
        <f aca="false">IF(A1421="","",DATE(YEAR(A1421),MONTH(A1421),1))</f>
        <v/>
      </c>
    </row>
    <row r="1422" customFormat="false" ht="15" hidden="false" customHeight="false" outlineLevel="0" collapsed="false">
      <c r="A1422" s="22"/>
      <c r="B1422" s="23"/>
      <c r="C1422" s="23"/>
      <c r="D1422" s="24"/>
      <c r="E1422" s="23"/>
      <c r="F1422" s="15" t="str">
        <f aca="false">IF(B1422="","",IFERROR(INDEX(Configurações!$B$7:$B$30,MATCH(B1422,Configurações!$A$7:$A$30,0)),"?"))</f>
        <v/>
      </c>
      <c r="G1422" s="25" t="str">
        <f aca="false">IF(A1422="","",A1422-WEEKDAY(A1422,2)+1)</f>
        <v/>
      </c>
      <c r="H1422" s="26" t="str">
        <f aca="false">IF(A1422="","",DATE(YEAR(A1422),MONTH(A1422),1))</f>
        <v/>
      </c>
    </row>
    <row r="1423" customFormat="false" ht="15" hidden="false" customHeight="false" outlineLevel="0" collapsed="false">
      <c r="A1423" s="22"/>
      <c r="B1423" s="23"/>
      <c r="C1423" s="23"/>
      <c r="D1423" s="24"/>
      <c r="E1423" s="23"/>
      <c r="F1423" s="15" t="str">
        <f aca="false">IF(B1423="","",IFERROR(INDEX(Configurações!$B$7:$B$30,MATCH(B1423,Configurações!$A$7:$A$30,0)),"?"))</f>
        <v/>
      </c>
      <c r="G1423" s="25" t="str">
        <f aca="false">IF(A1423="","",A1423-WEEKDAY(A1423,2)+1)</f>
        <v/>
      </c>
      <c r="H1423" s="26" t="str">
        <f aca="false">IF(A1423="","",DATE(YEAR(A1423),MONTH(A1423),1))</f>
        <v/>
      </c>
    </row>
    <row r="1424" customFormat="false" ht="15" hidden="false" customHeight="false" outlineLevel="0" collapsed="false">
      <c r="A1424" s="22"/>
      <c r="B1424" s="23"/>
      <c r="C1424" s="23"/>
      <c r="D1424" s="24"/>
      <c r="E1424" s="23"/>
      <c r="F1424" s="15" t="str">
        <f aca="false">IF(B1424="","",IFERROR(INDEX(Configurações!$B$7:$B$30,MATCH(B1424,Configurações!$A$7:$A$30,0)),"?"))</f>
        <v/>
      </c>
      <c r="G1424" s="25" t="str">
        <f aca="false">IF(A1424="","",A1424-WEEKDAY(A1424,2)+1)</f>
        <v/>
      </c>
      <c r="H1424" s="26" t="str">
        <f aca="false">IF(A1424="","",DATE(YEAR(A1424),MONTH(A1424),1))</f>
        <v/>
      </c>
    </row>
    <row r="1425" customFormat="false" ht="15" hidden="false" customHeight="false" outlineLevel="0" collapsed="false">
      <c r="A1425" s="22"/>
      <c r="B1425" s="23"/>
      <c r="C1425" s="23"/>
      <c r="D1425" s="24"/>
      <c r="E1425" s="23"/>
      <c r="F1425" s="15" t="str">
        <f aca="false">IF(B1425="","",IFERROR(INDEX(Configurações!$B$7:$B$30,MATCH(B1425,Configurações!$A$7:$A$30,0)),"?"))</f>
        <v/>
      </c>
      <c r="G1425" s="25" t="str">
        <f aca="false">IF(A1425="","",A1425-WEEKDAY(A1425,2)+1)</f>
        <v/>
      </c>
      <c r="H1425" s="26" t="str">
        <f aca="false">IF(A1425="","",DATE(YEAR(A1425),MONTH(A1425),1))</f>
        <v/>
      </c>
    </row>
    <row r="1426" customFormat="false" ht="15" hidden="false" customHeight="false" outlineLevel="0" collapsed="false">
      <c r="A1426" s="22"/>
      <c r="B1426" s="23"/>
      <c r="C1426" s="23"/>
      <c r="D1426" s="24"/>
      <c r="E1426" s="23"/>
      <c r="F1426" s="15" t="str">
        <f aca="false">IF(B1426="","",IFERROR(INDEX(Configurações!$B$7:$B$30,MATCH(B1426,Configurações!$A$7:$A$30,0)),"?"))</f>
        <v/>
      </c>
      <c r="G1426" s="25" t="str">
        <f aca="false">IF(A1426="","",A1426-WEEKDAY(A1426,2)+1)</f>
        <v/>
      </c>
      <c r="H1426" s="26" t="str">
        <f aca="false">IF(A1426="","",DATE(YEAR(A1426),MONTH(A1426),1))</f>
        <v/>
      </c>
    </row>
    <row r="1427" customFormat="false" ht="15" hidden="false" customHeight="false" outlineLevel="0" collapsed="false">
      <c r="A1427" s="22"/>
      <c r="B1427" s="23"/>
      <c r="C1427" s="23"/>
      <c r="D1427" s="24"/>
      <c r="E1427" s="23"/>
      <c r="F1427" s="15" t="str">
        <f aca="false">IF(B1427="","",IFERROR(INDEX(Configurações!$B$7:$B$30,MATCH(B1427,Configurações!$A$7:$A$30,0)),"?"))</f>
        <v/>
      </c>
      <c r="G1427" s="25" t="str">
        <f aca="false">IF(A1427="","",A1427-WEEKDAY(A1427,2)+1)</f>
        <v/>
      </c>
      <c r="H1427" s="26" t="str">
        <f aca="false">IF(A1427="","",DATE(YEAR(A1427),MONTH(A1427),1))</f>
        <v/>
      </c>
    </row>
    <row r="1428" customFormat="false" ht="15" hidden="false" customHeight="false" outlineLevel="0" collapsed="false">
      <c r="A1428" s="22"/>
      <c r="B1428" s="23"/>
      <c r="C1428" s="23"/>
      <c r="D1428" s="24"/>
      <c r="E1428" s="23"/>
      <c r="F1428" s="15" t="str">
        <f aca="false">IF(B1428="","",IFERROR(INDEX(Configurações!$B$7:$B$30,MATCH(B1428,Configurações!$A$7:$A$30,0)),"?"))</f>
        <v/>
      </c>
      <c r="G1428" s="25" t="str">
        <f aca="false">IF(A1428="","",A1428-WEEKDAY(A1428,2)+1)</f>
        <v/>
      </c>
      <c r="H1428" s="26" t="str">
        <f aca="false">IF(A1428="","",DATE(YEAR(A1428),MONTH(A1428),1))</f>
        <v/>
      </c>
    </row>
    <row r="1429" customFormat="false" ht="15" hidden="false" customHeight="false" outlineLevel="0" collapsed="false">
      <c r="A1429" s="22"/>
      <c r="B1429" s="23"/>
      <c r="C1429" s="23"/>
      <c r="D1429" s="24"/>
      <c r="E1429" s="23"/>
      <c r="F1429" s="15" t="str">
        <f aca="false">IF(B1429="","",IFERROR(INDEX(Configurações!$B$7:$B$30,MATCH(B1429,Configurações!$A$7:$A$30,0)),"?"))</f>
        <v/>
      </c>
      <c r="G1429" s="25" t="str">
        <f aca="false">IF(A1429="","",A1429-WEEKDAY(A1429,2)+1)</f>
        <v/>
      </c>
      <c r="H1429" s="26" t="str">
        <f aca="false">IF(A1429="","",DATE(YEAR(A1429),MONTH(A1429),1))</f>
        <v/>
      </c>
    </row>
    <row r="1430" customFormat="false" ht="15" hidden="false" customHeight="false" outlineLevel="0" collapsed="false">
      <c r="A1430" s="22"/>
      <c r="B1430" s="23"/>
      <c r="C1430" s="23"/>
      <c r="D1430" s="24"/>
      <c r="E1430" s="23"/>
      <c r="F1430" s="15" t="str">
        <f aca="false">IF(B1430="","",IFERROR(INDEX(Configurações!$B$7:$B$30,MATCH(B1430,Configurações!$A$7:$A$30,0)),"?"))</f>
        <v/>
      </c>
      <c r="G1430" s="25" t="str">
        <f aca="false">IF(A1430="","",A1430-WEEKDAY(A1430,2)+1)</f>
        <v/>
      </c>
      <c r="H1430" s="26" t="str">
        <f aca="false">IF(A1430="","",DATE(YEAR(A1430),MONTH(A1430),1))</f>
        <v/>
      </c>
    </row>
    <row r="1431" customFormat="false" ht="15" hidden="false" customHeight="false" outlineLevel="0" collapsed="false">
      <c r="A1431" s="22"/>
      <c r="B1431" s="23"/>
      <c r="C1431" s="23"/>
      <c r="D1431" s="24"/>
      <c r="E1431" s="23"/>
      <c r="F1431" s="15" t="str">
        <f aca="false">IF(B1431="","",IFERROR(INDEX(Configurações!$B$7:$B$30,MATCH(B1431,Configurações!$A$7:$A$30,0)),"?"))</f>
        <v/>
      </c>
      <c r="G1431" s="25" t="str">
        <f aca="false">IF(A1431="","",A1431-WEEKDAY(A1431,2)+1)</f>
        <v/>
      </c>
      <c r="H1431" s="26" t="str">
        <f aca="false">IF(A1431="","",DATE(YEAR(A1431),MONTH(A1431),1))</f>
        <v/>
      </c>
    </row>
    <row r="1432" customFormat="false" ht="15" hidden="false" customHeight="false" outlineLevel="0" collapsed="false">
      <c r="A1432" s="22"/>
      <c r="B1432" s="23"/>
      <c r="C1432" s="23"/>
      <c r="D1432" s="24"/>
      <c r="E1432" s="23"/>
      <c r="F1432" s="15" t="str">
        <f aca="false">IF(B1432="","",IFERROR(INDEX(Configurações!$B$7:$B$30,MATCH(B1432,Configurações!$A$7:$A$30,0)),"?"))</f>
        <v/>
      </c>
      <c r="G1432" s="25" t="str">
        <f aca="false">IF(A1432="","",A1432-WEEKDAY(A1432,2)+1)</f>
        <v/>
      </c>
      <c r="H1432" s="26" t="str">
        <f aca="false">IF(A1432="","",DATE(YEAR(A1432),MONTH(A1432),1))</f>
        <v/>
      </c>
    </row>
    <row r="1433" customFormat="false" ht="15" hidden="false" customHeight="false" outlineLevel="0" collapsed="false">
      <c r="A1433" s="22"/>
      <c r="B1433" s="23"/>
      <c r="C1433" s="23"/>
      <c r="D1433" s="24"/>
      <c r="E1433" s="23"/>
      <c r="F1433" s="15" t="str">
        <f aca="false">IF(B1433="","",IFERROR(INDEX(Configurações!$B$7:$B$30,MATCH(B1433,Configurações!$A$7:$A$30,0)),"?"))</f>
        <v/>
      </c>
      <c r="G1433" s="25" t="str">
        <f aca="false">IF(A1433="","",A1433-WEEKDAY(A1433,2)+1)</f>
        <v/>
      </c>
      <c r="H1433" s="26" t="str">
        <f aca="false">IF(A1433="","",DATE(YEAR(A1433),MONTH(A1433),1))</f>
        <v/>
      </c>
    </row>
    <row r="1434" customFormat="false" ht="15" hidden="false" customHeight="false" outlineLevel="0" collapsed="false">
      <c r="A1434" s="22"/>
      <c r="B1434" s="23"/>
      <c r="C1434" s="23"/>
      <c r="D1434" s="24"/>
      <c r="E1434" s="23"/>
      <c r="F1434" s="15" t="str">
        <f aca="false">IF(B1434="","",IFERROR(INDEX(Configurações!$B$7:$B$30,MATCH(B1434,Configurações!$A$7:$A$30,0)),"?"))</f>
        <v/>
      </c>
      <c r="G1434" s="25" t="str">
        <f aca="false">IF(A1434="","",A1434-WEEKDAY(A1434,2)+1)</f>
        <v/>
      </c>
      <c r="H1434" s="26" t="str">
        <f aca="false">IF(A1434="","",DATE(YEAR(A1434),MONTH(A1434),1))</f>
        <v/>
      </c>
    </row>
    <row r="1435" customFormat="false" ht="15" hidden="false" customHeight="false" outlineLevel="0" collapsed="false">
      <c r="A1435" s="22"/>
      <c r="B1435" s="23"/>
      <c r="C1435" s="23"/>
      <c r="D1435" s="24"/>
      <c r="E1435" s="23"/>
      <c r="F1435" s="15" t="str">
        <f aca="false">IF(B1435="","",IFERROR(INDEX(Configurações!$B$7:$B$30,MATCH(B1435,Configurações!$A$7:$A$30,0)),"?"))</f>
        <v/>
      </c>
      <c r="G1435" s="25" t="str">
        <f aca="false">IF(A1435="","",A1435-WEEKDAY(A1435,2)+1)</f>
        <v/>
      </c>
      <c r="H1435" s="26" t="str">
        <f aca="false">IF(A1435="","",DATE(YEAR(A1435),MONTH(A1435),1))</f>
        <v/>
      </c>
    </row>
    <row r="1436" customFormat="false" ht="15" hidden="false" customHeight="false" outlineLevel="0" collapsed="false">
      <c r="A1436" s="22"/>
      <c r="B1436" s="23"/>
      <c r="C1436" s="23"/>
      <c r="D1436" s="24"/>
      <c r="E1436" s="23"/>
      <c r="F1436" s="15" t="str">
        <f aca="false">IF(B1436="","",IFERROR(INDEX(Configurações!$B$7:$B$30,MATCH(B1436,Configurações!$A$7:$A$30,0)),"?"))</f>
        <v/>
      </c>
      <c r="G1436" s="25" t="str">
        <f aca="false">IF(A1436="","",A1436-WEEKDAY(A1436,2)+1)</f>
        <v/>
      </c>
      <c r="H1436" s="26" t="str">
        <f aca="false">IF(A1436="","",DATE(YEAR(A1436),MONTH(A1436),1))</f>
        <v/>
      </c>
    </row>
    <row r="1437" customFormat="false" ht="15" hidden="false" customHeight="false" outlineLevel="0" collapsed="false">
      <c r="A1437" s="22"/>
      <c r="B1437" s="23"/>
      <c r="C1437" s="23"/>
      <c r="D1437" s="24"/>
      <c r="E1437" s="23"/>
      <c r="F1437" s="15" t="str">
        <f aca="false">IF(B1437="","",IFERROR(INDEX(Configurações!$B$7:$B$30,MATCH(B1437,Configurações!$A$7:$A$30,0)),"?"))</f>
        <v/>
      </c>
      <c r="G1437" s="25" t="str">
        <f aca="false">IF(A1437="","",A1437-WEEKDAY(A1437,2)+1)</f>
        <v/>
      </c>
      <c r="H1437" s="26" t="str">
        <f aca="false">IF(A1437="","",DATE(YEAR(A1437),MONTH(A1437),1))</f>
        <v/>
      </c>
    </row>
    <row r="1438" customFormat="false" ht="15" hidden="false" customHeight="false" outlineLevel="0" collapsed="false">
      <c r="A1438" s="22"/>
      <c r="B1438" s="23"/>
      <c r="C1438" s="23"/>
      <c r="D1438" s="24"/>
      <c r="E1438" s="23"/>
      <c r="F1438" s="15" t="str">
        <f aca="false">IF(B1438="","",IFERROR(INDEX(Configurações!$B$7:$B$30,MATCH(B1438,Configurações!$A$7:$A$30,0)),"?"))</f>
        <v/>
      </c>
      <c r="G1438" s="25" t="str">
        <f aca="false">IF(A1438="","",A1438-WEEKDAY(A1438,2)+1)</f>
        <v/>
      </c>
      <c r="H1438" s="26" t="str">
        <f aca="false">IF(A1438="","",DATE(YEAR(A1438),MONTH(A1438),1))</f>
        <v/>
      </c>
    </row>
    <row r="1439" customFormat="false" ht="15" hidden="false" customHeight="false" outlineLevel="0" collapsed="false">
      <c r="A1439" s="22"/>
      <c r="B1439" s="23"/>
      <c r="C1439" s="23"/>
      <c r="D1439" s="24"/>
      <c r="E1439" s="23"/>
      <c r="F1439" s="15" t="str">
        <f aca="false">IF(B1439="","",IFERROR(INDEX(Configurações!$B$7:$B$30,MATCH(B1439,Configurações!$A$7:$A$30,0)),"?"))</f>
        <v/>
      </c>
      <c r="G1439" s="25" t="str">
        <f aca="false">IF(A1439="","",A1439-WEEKDAY(A1439,2)+1)</f>
        <v/>
      </c>
      <c r="H1439" s="26" t="str">
        <f aca="false">IF(A1439="","",DATE(YEAR(A1439),MONTH(A1439),1))</f>
        <v/>
      </c>
    </row>
    <row r="1440" customFormat="false" ht="15" hidden="false" customHeight="false" outlineLevel="0" collapsed="false">
      <c r="A1440" s="22"/>
      <c r="B1440" s="23"/>
      <c r="C1440" s="23"/>
      <c r="D1440" s="24"/>
      <c r="E1440" s="23"/>
      <c r="F1440" s="15" t="str">
        <f aca="false">IF(B1440="","",IFERROR(INDEX(Configurações!$B$7:$B$30,MATCH(B1440,Configurações!$A$7:$A$30,0)),"?"))</f>
        <v/>
      </c>
      <c r="G1440" s="25" t="str">
        <f aca="false">IF(A1440="","",A1440-WEEKDAY(A1440,2)+1)</f>
        <v/>
      </c>
      <c r="H1440" s="26" t="str">
        <f aca="false">IF(A1440="","",DATE(YEAR(A1440),MONTH(A1440),1))</f>
        <v/>
      </c>
    </row>
    <row r="1441" customFormat="false" ht="15" hidden="false" customHeight="false" outlineLevel="0" collapsed="false">
      <c r="A1441" s="22"/>
      <c r="B1441" s="23"/>
      <c r="C1441" s="23"/>
      <c r="D1441" s="24"/>
      <c r="E1441" s="23"/>
      <c r="F1441" s="15" t="str">
        <f aca="false">IF(B1441="","",IFERROR(INDEX(Configurações!$B$7:$B$30,MATCH(B1441,Configurações!$A$7:$A$30,0)),"?"))</f>
        <v/>
      </c>
      <c r="G1441" s="25" t="str">
        <f aca="false">IF(A1441="","",A1441-WEEKDAY(A1441,2)+1)</f>
        <v/>
      </c>
      <c r="H1441" s="26" t="str">
        <f aca="false">IF(A1441="","",DATE(YEAR(A1441),MONTH(A1441),1))</f>
        <v/>
      </c>
    </row>
    <row r="1442" customFormat="false" ht="15" hidden="false" customHeight="false" outlineLevel="0" collapsed="false">
      <c r="A1442" s="22"/>
      <c r="B1442" s="23"/>
      <c r="C1442" s="23"/>
      <c r="D1442" s="24"/>
      <c r="E1442" s="23"/>
      <c r="F1442" s="15" t="str">
        <f aca="false">IF(B1442="","",IFERROR(INDEX(Configurações!$B$7:$B$30,MATCH(B1442,Configurações!$A$7:$A$30,0)),"?"))</f>
        <v/>
      </c>
      <c r="G1442" s="25" t="str">
        <f aca="false">IF(A1442="","",A1442-WEEKDAY(A1442,2)+1)</f>
        <v/>
      </c>
      <c r="H1442" s="26" t="str">
        <f aca="false">IF(A1442="","",DATE(YEAR(A1442),MONTH(A1442),1))</f>
        <v/>
      </c>
    </row>
    <row r="1443" customFormat="false" ht="15" hidden="false" customHeight="false" outlineLevel="0" collapsed="false">
      <c r="A1443" s="22"/>
      <c r="B1443" s="23"/>
      <c r="C1443" s="23"/>
      <c r="D1443" s="24"/>
      <c r="E1443" s="23"/>
      <c r="F1443" s="15" t="str">
        <f aca="false">IF(B1443="","",IFERROR(INDEX(Configurações!$B$7:$B$30,MATCH(B1443,Configurações!$A$7:$A$30,0)),"?"))</f>
        <v/>
      </c>
      <c r="G1443" s="25" t="str">
        <f aca="false">IF(A1443="","",A1443-WEEKDAY(A1443,2)+1)</f>
        <v/>
      </c>
      <c r="H1443" s="26" t="str">
        <f aca="false">IF(A1443="","",DATE(YEAR(A1443),MONTH(A1443),1))</f>
        <v/>
      </c>
    </row>
    <row r="1444" customFormat="false" ht="15" hidden="false" customHeight="false" outlineLevel="0" collapsed="false">
      <c r="A1444" s="22"/>
      <c r="B1444" s="23"/>
      <c r="C1444" s="23"/>
      <c r="D1444" s="24"/>
      <c r="E1444" s="23"/>
      <c r="F1444" s="15" t="str">
        <f aca="false">IF(B1444="","",IFERROR(INDEX(Configurações!$B$7:$B$30,MATCH(B1444,Configurações!$A$7:$A$30,0)),"?"))</f>
        <v/>
      </c>
      <c r="G1444" s="25" t="str">
        <f aca="false">IF(A1444="","",A1444-WEEKDAY(A1444,2)+1)</f>
        <v/>
      </c>
      <c r="H1444" s="26" t="str">
        <f aca="false">IF(A1444="","",DATE(YEAR(A1444),MONTH(A1444),1))</f>
        <v/>
      </c>
    </row>
    <row r="1445" customFormat="false" ht="15" hidden="false" customHeight="false" outlineLevel="0" collapsed="false">
      <c r="A1445" s="22"/>
      <c r="B1445" s="23"/>
      <c r="C1445" s="23"/>
      <c r="D1445" s="24"/>
      <c r="E1445" s="23"/>
      <c r="F1445" s="15" t="str">
        <f aca="false">IF(B1445="","",IFERROR(INDEX(Configurações!$B$7:$B$30,MATCH(B1445,Configurações!$A$7:$A$30,0)),"?"))</f>
        <v/>
      </c>
      <c r="G1445" s="25" t="str">
        <f aca="false">IF(A1445="","",A1445-WEEKDAY(A1445,2)+1)</f>
        <v/>
      </c>
      <c r="H1445" s="26" t="str">
        <f aca="false">IF(A1445="","",DATE(YEAR(A1445),MONTH(A1445),1))</f>
        <v/>
      </c>
    </row>
    <row r="1446" customFormat="false" ht="15" hidden="false" customHeight="false" outlineLevel="0" collapsed="false">
      <c r="A1446" s="22"/>
      <c r="B1446" s="23"/>
      <c r="C1446" s="23"/>
      <c r="D1446" s="24"/>
      <c r="E1446" s="23"/>
      <c r="F1446" s="15" t="str">
        <f aca="false">IF(B1446="","",IFERROR(INDEX(Configurações!$B$7:$B$30,MATCH(B1446,Configurações!$A$7:$A$30,0)),"?"))</f>
        <v/>
      </c>
      <c r="G1446" s="25" t="str">
        <f aca="false">IF(A1446="","",A1446-WEEKDAY(A1446,2)+1)</f>
        <v/>
      </c>
      <c r="H1446" s="26" t="str">
        <f aca="false">IF(A1446="","",DATE(YEAR(A1446),MONTH(A1446),1))</f>
        <v/>
      </c>
    </row>
    <row r="1447" customFormat="false" ht="15" hidden="false" customHeight="false" outlineLevel="0" collapsed="false">
      <c r="A1447" s="22"/>
      <c r="B1447" s="23"/>
      <c r="C1447" s="23"/>
      <c r="D1447" s="24"/>
      <c r="E1447" s="23"/>
      <c r="F1447" s="15" t="str">
        <f aca="false">IF(B1447="","",IFERROR(INDEX(Configurações!$B$7:$B$30,MATCH(B1447,Configurações!$A$7:$A$30,0)),"?"))</f>
        <v/>
      </c>
      <c r="G1447" s="25" t="str">
        <f aca="false">IF(A1447="","",A1447-WEEKDAY(A1447,2)+1)</f>
        <v/>
      </c>
      <c r="H1447" s="26" t="str">
        <f aca="false">IF(A1447="","",DATE(YEAR(A1447),MONTH(A1447),1))</f>
        <v/>
      </c>
    </row>
    <row r="1448" customFormat="false" ht="15" hidden="false" customHeight="false" outlineLevel="0" collapsed="false">
      <c r="A1448" s="22"/>
      <c r="B1448" s="23"/>
      <c r="C1448" s="23"/>
      <c r="D1448" s="24"/>
      <c r="E1448" s="23"/>
      <c r="F1448" s="15" t="str">
        <f aca="false">IF(B1448="","",IFERROR(INDEX(Configurações!$B$7:$B$30,MATCH(B1448,Configurações!$A$7:$A$30,0)),"?"))</f>
        <v/>
      </c>
      <c r="G1448" s="25" t="str">
        <f aca="false">IF(A1448="","",A1448-WEEKDAY(A1448,2)+1)</f>
        <v/>
      </c>
      <c r="H1448" s="26" t="str">
        <f aca="false">IF(A1448="","",DATE(YEAR(A1448),MONTH(A1448),1))</f>
        <v/>
      </c>
    </row>
    <row r="1449" customFormat="false" ht="15" hidden="false" customHeight="false" outlineLevel="0" collapsed="false">
      <c r="A1449" s="22"/>
      <c r="B1449" s="23"/>
      <c r="C1449" s="23"/>
      <c r="D1449" s="24"/>
      <c r="E1449" s="23"/>
      <c r="F1449" s="15" t="str">
        <f aca="false">IF(B1449="","",IFERROR(INDEX(Configurações!$B$7:$B$30,MATCH(B1449,Configurações!$A$7:$A$30,0)),"?"))</f>
        <v/>
      </c>
      <c r="G1449" s="25" t="str">
        <f aca="false">IF(A1449="","",A1449-WEEKDAY(A1449,2)+1)</f>
        <v/>
      </c>
      <c r="H1449" s="26" t="str">
        <f aca="false">IF(A1449="","",DATE(YEAR(A1449),MONTH(A1449),1))</f>
        <v/>
      </c>
    </row>
    <row r="1450" customFormat="false" ht="15" hidden="false" customHeight="false" outlineLevel="0" collapsed="false">
      <c r="A1450" s="22"/>
      <c r="B1450" s="23"/>
      <c r="C1450" s="23"/>
      <c r="D1450" s="24"/>
      <c r="E1450" s="23"/>
      <c r="F1450" s="15" t="str">
        <f aca="false">IF(B1450="","",IFERROR(INDEX(Configurações!$B$7:$B$30,MATCH(B1450,Configurações!$A$7:$A$30,0)),"?"))</f>
        <v/>
      </c>
      <c r="G1450" s="25" t="str">
        <f aca="false">IF(A1450="","",A1450-WEEKDAY(A1450,2)+1)</f>
        <v/>
      </c>
      <c r="H1450" s="26" t="str">
        <f aca="false">IF(A1450="","",DATE(YEAR(A1450),MONTH(A1450),1))</f>
        <v/>
      </c>
    </row>
    <row r="1451" customFormat="false" ht="15" hidden="false" customHeight="false" outlineLevel="0" collapsed="false">
      <c r="A1451" s="22"/>
      <c r="B1451" s="23"/>
      <c r="C1451" s="23"/>
      <c r="D1451" s="24"/>
      <c r="E1451" s="23"/>
      <c r="F1451" s="15" t="str">
        <f aca="false">IF(B1451="","",IFERROR(INDEX(Configurações!$B$7:$B$30,MATCH(B1451,Configurações!$A$7:$A$30,0)),"?"))</f>
        <v/>
      </c>
      <c r="G1451" s="25" t="str">
        <f aca="false">IF(A1451="","",A1451-WEEKDAY(A1451,2)+1)</f>
        <v/>
      </c>
      <c r="H1451" s="26" t="str">
        <f aca="false">IF(A1451="","",DATE(YEAR(A1451),MONTH(A1451),1))</f>
        <v/>
      </c>
    </row>
    <row r="1452" customFormat="false" ht="15" hidden="false" customHeight="false" outlineLevel="0" collapsed="false">
      <c r="A1452" s="22"/>
      <c r="B1452" s="23"/>
      <c r="C1452" s="23"/>
      <c r="D1452" s="24"/>
      <c r="E1452" s="23"/>
      <c r="F1452" s="15" t="str">
        <f aca="false">IF(B1452="","",IFERROR(INDEX(Configurações!$B$7:$B$30,MATCH(B1452,Configurações!$A$7:$A$30,0)),"?"))</f>
        <v/>
      </c>
      <c r="G1452" s="25" t="str">
        <f aca="false">IF(A1452="","",A1452-WEEKDAY(A1452,2)+1)</f>
        <v/>
      </c>
      <c r="H1452" s="26" t="str">
        <f aca="false">IF(A1452="","",DATE(YEAR(A1452),MONTH(A1452),1))</f>
        <v/>
      </c>
    </row>
    <row r="1453" customFormat="false" ht="15" hidden="false" customHeight="false" outlineLevel="0" collapsed="false">
      <c r="A1453" s="22"/>
      <c r="B1453" s="23"/>
      <c r="C1453" s="23"/>
      <c r="D1453" s="24"/>
      <c r="E1453" s="23"/>
      <c r="F1453" s="15" t="str">
        <f aca="false">IF(B1453="","",IFERROR(INDEX(Configurações!$B$7:$B$30,MATCH(B1453,Configurações!$A$7:$A$30,0)),"?"))</f>
        <v/>
      </c>
      <c r="G1453" s="25" t="str">
        <f aca="false">IF(A1453="","",A1453-WEEKDAY(A1453,2)+1)</f>
        <v/>
      </c>
      <c r="H1453" s="26" t="str">
        <f aca="false">IF(A1453="","",DATE(YEAR(A1453),MONTH(A1453),1))</f>
        <v/>
      </c>
    </row>
    <row r="1454" customFormat="false" ht="15" hidden="false" customHeight="false" outlineLevel="0" collapsed="false">
      <c r="A1454" s="22"/>
      <c r="B1454" s="23"/>
      <c r="C1454" s="23"/>
      <c r="D1454" s="24"/>
      <c r="E1454" s="23"/>
      <c r="F1454" s="15" t="str">
        <f aca="false">IF(B1454="","",IFERROR(INDEX(Configurações!$B$7:$B$30,MATCH(B1454,Configurações!$A$7:$A$30,0)),"?"))</f>
        <v/>
      </c>
      <c r="G1454" s="25" t="str">
        <f aca="false">IF(A1454="","",A1454-WEEKDAY(A1454,2)+1)</f>
        <v/>
      </c>
      <c r="H1454" s="26" t="str">
        <f aca="false">IF(A1454="","",DATE(YEAR(A1454),MONTH(A1454),1))</f>
        <v/>
      </c>
    </row>
    <row r="1455" customFormat="false" ht="15" hidden="false" customHeight="false" outlineLevel="0" collapsed="false">
      <c r="A1455" s="22"/>
      <c r="B1455" s="23"/>
      <c r="C1455" s="23"/>
      <c r="D1455" s="24"/>
      <c r="E1455" s="23"/>
      <c r="F1455" s="15" t="str">
        <f aca="false">IF(B1455="","",IFERROR(INDEX(Configurações!$B$7:$B$30,MATCH(B1455,Configurações!$A$7:$A$30,0)),"?"))</f>
        <v/>
      </c>
      <c r="G1455" s="25" t="str">
        <f aca="false">IF(A1455="","",A1455-WEEKDAY(A1455,2)+1)</f>
        <v/>
      </c>
      <c r="H1455" s="26" t="str">
        <f aca="false">IF(A1455="","",DATE(YEAR(A1455),MONTH(A1455),1))</f>
        <v/>
      </c>
    </row>
    <row r="1456" customFormat="false" ht="15" hidden="false" customHeight="false" outlineLevel="0" collapsed="false">
      <c r="A1456" s="22"/>
      <c r="B1456" s="23"/>
      <c r="C1456" s="23"/>
      <c r="D1456" s="24"/>
      <c r="E1456" s="23"/>
      <c r="F1456" s="15" t="str">
        <f aca="false">IF(B1456="","",IFERROR(INDEX(Configurações!$B$7:$B$30,MATCH(B1456,Configurações!$A$7:$A$30,0)),"?"))</f>
        <v/>
      </c>
      <c r="G1456" s="25" t="str">
        <f aca="false">IF(A1456="","",A1456-WEEKDAY(A1456,2)+1)</f>
        <v/>
      </c>
      <c r="H1456" s="26" t="str">
        <f aca="false">IF(A1456="","",DATE(YEAR(A1456),MONTH(A1456),1))</f>
        <v/>
      </c>
    </row>
    <row r="1457" customFormat="false" ht="15" hidden="false" customHeight="false" outlineLevel="0" collapsed="false">
      <c r="A1457" s="22"/>
      <c r="B1457" s="23"/>
      <c r="C1457" s="23"/>
      <c r="D1457" s="24"/>
      <c r="E1457" s="23"/>
      <c r="F1457" s="15" t="str">
        <f aca="false">IF(B1457="","",IFERROR(INDEX(Configurações!$B$7:$B$30,MATCH(B1457,Configurações!$A$7:$A$30,0)),"?"))</f>
        <v/>
      </c>
      <c r="G1457" s="25" t="str">
        <f aca="false">IF(A1457="","",A1457-WEEKDAY(A1457,2)+1)</f>
        <v/>
      </c>
      <c r="H1457" s="26" t="str">
        <f aca="false">IF(A1457="","",DATE(YEAR(A1457),MONTH(A1457),1))</f>
        <v/>
      </c>
    </row>
    <row r="1458" customFormat="false" ht="15" hidden="false" customHeight="false" outlineLevel="0" collapsed="false">
      <c r="A1458" s="22"/>
      <c r="B1458" s="23"/>
      <c r="C1458" s="23"/>
      <c r="D1458" s="24"/>
      <c r="E1458" s="23"/>
      <c r="F1458" s="15" t="str">
        <f aca="false">IF(B1458="","",IFERROR(INDEX(Configurações!$B$7:$B$30,MATCH(B1458,Configurações!$A$7:$A$30,0)),"?"))</f>
        <v/>
      </c>
      <c r="G1458" s="25" t="str">
        <f aca="false">IF(A1458="","",A1458-WEEKDAY(A1458,2)+1)</f>
        <v/>
      </c>
      <c r="H1458" s="26" t="str">
        <f aca="false">IF(A1458="","",DATE(YEAR(A1458),MONTH(A1458),1))</f>
        <v/>
      </c>
    </row>
    <row r="1459" customFormat="false" ht="15" hidden="false" customHeight="false" outlineLevel="0" collapsed="false">
      <c r="A1459" s="22"/>
      <c r="B1459" s="23"/>
      <c r="C1459" s="23"/>
      <c r="D1459" s="24"/>
      <c r="E1459" s="23"/>
      <c r="F1459" s="15" t="str">
        <f aca="false">IF(B1459="","",IFERROR(INDEX(Configurações!$B$7:$B$30,MATCH(B1459,Configurações!$A$7:$A$30,0)),"?"))</f>
        <v/>
      </c>
      <c r="G1459" s="25" t="str">
        <f aca="false">IF(A1459="","",A1459-WEEKDAY(A1459,2)+1)</f>
        <v/>
      </c>
      <c r="H1459" s="26" t="str">
        <f aca="false">IF(A1459="","",DATE(YEAR(A1459),MONTH(A1459),1))</f>
        <v/>
      </c>
    </row>
    <row r="1460" customFormat="false" ht="15" hidden="false" customHeight="false" outlineLevel="0" collapsed="false">
      <c r="A1460" s="22"/>
      <c r="B1460" s="23"/>
      <c r="C1460" s="23"/>
      <c r="D1460" s="24"/>
      <c r="E1460" s="23"/>
      <c r="F1460" s="15" t="str">
        <f aca="false">IF(B1460="","",IFERROR(INDEX(Configurações!$B$7:$B$30,MATCH(B1460,Configurações!$A$7:$A$30,0)),"?"))</f>
        <v/>
      </c>
      <c r="G1460" s="25" t="str">
        <f aca="false">IF(A1460="","",A1460-WEEKDAY(A1460,2)+1)</f>
        <v/>
      </c>
      <c r="H1460" s="26" t="str">
        <f aca="false">IF(A1460="","",DATE(YEAR(A1460),MONTH(A1460),1))</f>
        <v/>
      </c>
    </row>
    <row r="1461" customFormat="false" ht="15" hidden="false" customHeight="false" outlineLevel="0" collapsed="false">
      <c r="A1461" s="22"/>
      <c r="B1461" s="23"/>
      <c r="C1461" s="23"/>
      <c r="D1461" s="24"/>
      <c r="E1461" s="23"/>
      <c r="F1461" s="15" t="str">
        <f aca="false">IF(B1461="","",IFERROR(INDEX(Configurações!$B$7:$B$30,MATCH(B1461,Configurações!$A$7:$A$30,0)),"?"))</f>
        <v/>
      </c>
      <c r="G1461" s="25" t="str">
        <f aca="false">IF(A1461="","",A1461-WEEKDAY(A1461,2)+1)</f>
        <v/>
      </c>
      <c r="H1461" s="26" t="str">
        <f aca="false">IF(A1461="","",DATE(YEAR(A1461),MONTH(A1461),1))</f>
        <v/>
      </c>
    </row>
    <row r="1462" customFormat="false" ht="15" hidden="false" customHeight="false" outlineLevel="0" collapsed="false">
      <c r="A1462" s="22"/>
      <c r="B1462" s="23"/>
      <c r="C1462" s="23"/>
      <c r="D1462" s="24"/>
      <c r="E1462" s="23"/>
      <c r="F1462" s="15" t="str">
        <f aca="false">IF(B1462="","",IFERROR(INDEX(Configurações!$B$7:$B$30,MATCH(B1462,Configurações!$A$7:$A$30,0)),"?"))</f>
        <v/>
      </c>
      <c r="G1462" s="25" t="str">
        <f aca="false">IF(A1462="","",A1462-WEEKDAY(A1462,2)+1)</f>
        <v/>
      </c>
      <c r="H1462" s="26" t="str">
        <f aca="false">IF(A1462="","",DATE(YEAR(A1462),MONTH(A1462),1))</f>
        <v/>
      </c>
    </row>
    <row r="1463" customFormat="false" ht="15" hidden="false" customHeight="false" outlineLevel="0" collapsed="false">
      <c r="A1463" s="22"/>
      <c r="B1463" s="23"/>
      <c r="C1463" s="23"/>
      <c r="D1463" s="24"/>
      <c r="E1463" s="23"/>
      <c r="F1463" s="15" t="str">
        <f aca="false">IF(B1463="","",IFERROR(INDEX(Configurações!$B$7:$B$30,MATCH(B1463,Configurações!$A$7:$A$30,0)),"?"))</f>
        <v/>
      </c>
      <c r="G1463" s="25" t="str">
        <f aca="false">IF(A1463="","",A1463-WEEKDAY(A1463,2)+1)</f>
        <v/>
      </c>
      <c r="H1463" s="26" t="str">
        <f aca="false">IF(A1463="","",DATE(YEAR(A1463),MONTH(A1463),1))</f>
        <v/>
      </c>
    </row>
    <row r="1464" customFormat="false" ht="15" hidden="false" customHeight="false" outlineLevel="0" collapsed="false">
      <c r="A1464" s="22"/>
      <c r="B1464" s="23"/>
      <c r="C1464" s="23"/>
      <c r="D1464" s="24"/>
      <c r="E1464" s="23"/>
      <c r="F1464" s="15" t="str">
        <f aca="false">IF(B1464="","",IFERROR(INDEX(Configurações!$B$7:$B$30,MATCH(B1464,Configurações!$A$7:$A$30,0)),"?"))</f>
        <v/>
      </c>
      <c r="G1464" s="25" t="str">
        <f aca="false">IF(A1464="","",A1464-WEEKDAY(A1464,2)+1)</f>
        <v/>
      </c>
      <c r="H1464" s="26" t="str">
        <f aca="false">IF(A1464="","",DATE(YEAR(A1464),MONTH(A1464),1))</f>
        <v/>
      </c>
    </row>
    <row r="1465" customFormat="false" ht="15" hidden="false" customHeight="false" outlineLevel="0" collapsed="false">
      <c r="A1465" s="22"/>
      <c r="B1465" s="23"/>
      <c r="C1465" s="23"/>
      <c r="D1465" s="24"/>
      <c r="E1465" s="23"/>
      <c r="F1465" s="15" t="str">
        <f aca="false">IF(B1465="","",IFERROR(INDEX(Configurações!$B$7:$B$30,MATCH(B1465,Configurações!$A$7:$A$30,0)),"?"))</f>
        <v/>
      </c>
      <c r="G1465" s="25" t="str">
        <f aca="false">IF(A1465="","",A1465-WEEKDAY(A1465,2)+1)</f>
        <v/>
      </c>
      <c r="H1465" s="26" t="str">
        <f aca="false">IF(A1465="","",DATE(YEAR(A1465),MONTH(A1465),1))</f>
        <v/>
      </c>
    </row>
    <row r="1466" customFormat="false" ht="15" hidden="false" customHeight="false" outlineLevel="0" collapsed="false">
      <c r="A1466" s="22"/>
      <c r="B1466" s="23"/>
      <c r="C1466" s="23"/>
      <c r="D1466" s="24"/>
      <c r="E1466" s="23"/>
      <c r="F1466" s="15" t="str">
        <f aca="false">IF(B1466="","",IFERROR(INDEX(Configurações!$B$7:$B$30,MATCH(B1466,Configurações!$A$7:$A$30,0)),"?"))</f>
        <v/>
      </c>
      <c r="G1466" s="25" t="str">
        <f aca="false">IF(A1466="","",A1466-WEEKDAY(A1466,2)+1)</f>
        <v/>
      </c>
      <c r="H1466" s="26" t="str">
        <f aca="false">IF(A1466="","",DATE(YEAR(A1466),MONTH(A1466),1))</f>
        <v/>
      </c>
    </row>
    <row r="1467" customFormat="false" ht="15" hidden="false" customHeight="false" outlineLevel="0" collapsed="false">
      <c r="A1467" s="22"/>
      <c r="B1467" s="23"/>
      <c r="C1467" s="23"/>
      <c r="D1467" s="24"/>
      <c r="E1467" s="23"/>
      <c r="F1467" s="15" t="str">
        <f aca="false">IF(B1467="","",IFERROR(INDEX(Configurações!$B$7:$B$30,MATCH(B1467,Configurações!$A$7:$A$30,0)),"?"))</f>
        <v/>
      </c>
      <c r="G1467" s="25" t="str">
        <f aca="false">IF(A1467="","",A1467-WEEKDAY(A1467,2)+1)</f>
        <v/>
      </c>
      <c r="H1467" s="26" t="str">
        <f aca="false">IF(A1467="","",DATE(YEAR(A1467),MONTH(A1467),1))</f>
        <v/>
      </c>
    </row>
    <row r="1468" customFormat="false" ht="15" hidden="false" customHeight="false" outlineLevel="0" collapsed="false">
      <c r="A1468" s="22"/>
      <c r="B1468" s="23"/>
      <c r="C1468" s="23"/>
      <c r="D1468" s="24"/>
      <c r="E1468" s="23"/>
      <c r="F1468" s="15" t="str">
        <f aca="false">IF(B1468="","",IFERROR(INDEX(Configurações!$B$7:$B$30,MATCH(B1468,Configurações!$A$7:$A$30,0)),"?"))</f>
        <v/>
      </c>
      <c r="G1468" s="25" t="str">
        <f aca="false">IF(A1468="","",A1468-WEEKDAY(A1468,2)+1)</f>
        <v/>
      </c>
      <c r="H1468" s="26" t="str">
        <f aca="false">IF(A1468="","",DATE(YEAR(A1468),MONTH(A1468),1))</f>
        <v/>
      </c>
    </row>
    <row r="1469" customFormat="false" ht="15" hidden="false" customHeight="false" outlineLevel="0" collapsed="false">
      <c r="A1469" s="22"/>
      <c r="B1469" s="23"/>
      <c r="C1469" s="23"/>
      <c r="D1469" s="24"/>
      <c r="E1469" s="23"/>
      <c r="F1469" s="15" t="str">
        <f aca="false">IF(B1469="","",IFERROR(INDEX(Configurações!$B$7:$B$30,MATCH(B1469,Configurações!$A$7:$A$30,0)),"?"))</f>
        <v/>
      </c>
      <c r="G1469" s="25" t="str">
        <f aca="false">IF(A1469="","",A1469-WEEKDAY(A1469,2)+1)</f>
        <v/>
      </c>
      <c r="H1469" s="26" t="str">
        <f aca="false">IF(A1469="","",DATE(YEAR(A1469),MONTH(A1469),1))</f>
        <v/>
      </c>
    </row>
    <row r="1470" customFormat="false" ht="15" hidden="false" customHeight="false" outlineLevel="0" collapsed="false">
      <c r="A1470" s="22"/>
      <c r="B1470" s="23"/>
      <c r="C1470" s="23"/>
      <c r="D1470" s="24"/>
      <c r="E1470" s="23"/>
      <c r="F1470" s="15" t="str">
        <f aca="false">IF(B1470="","",IFERROR(INDEX(Configurações!$B$7:$B$30,MATCH(B1470,Configurações!$A$7:$A$30,0)),"?"))</f>
        <v/>
      </c>
      <c r="G1470" s="25" t="str">
        <f aca="false">IF(A1470="","",A1470-WEEKDAY(A1470,2)+1)</f>
        <v/>
      </c>
      <c r="H1470" s="26" t="str">
        <f aca="false">IF(A1470="","",DATE(YEAR(A1470),MONTH(A1470),1))</f>
        <v/>
      </c>
    </row>
    <row r="1471" customFormat="false" ht="15" hidden="false" customHeight="false" outlineLevel="0" collapsed="false">
      <c r="A1471" s="22"/>
      <c r="B1471" s="23"/>
      <c r="C1471" s="23"/>
      <c r="D1471" s="24"/>
      <c r="E1471" s="23"/>
      <c r="F1471" s="15" t="str">
        <f aca="false">IF(B1471="","",IFERROR(INDEX(Configurações!$B$7:$B$30,MATCH(B1471,Configurações!$A$7:$A$30,0)),"?"))</f>
        <v/>
      </c>
      <c r="G1471" s="25" t="str">
        <f aca="false">IF(A1471="","",A1471-WEEKDAY(A1471,2)+1)</f>
        <v/>
      </c>
      <c r="H1471" s="26" t="str">
        <f aca="false">IF(A1471="","",DATE(YEAR(A1471),MONTH(A1471),1))</f>
        <v/>
      </c>
    </row>
    <row r="1472" customFormat="false" ht="15" hidden="false" customHeight="false" outlineLevel="0" collapsed="false">
      <c r="A1472" s="22"/>
      <c r="B1472" s="23"/>
      <c r="C1472" s="23"/>
      <c r="D1472" s="24"/>
      <c r="E1472" s="23"/>
      <c r="F1472" s="15" t="str">
        <f aca="false">IF(B1472="","",IFERROR(INDEX(Configurações!$B$7:$B$30,MATCH(B1472,Configurações!$A$7:$A$30,0)),"?"))</f>
        <v/>
      </c>
      <c r="G1472" s="25" t="str">
        <f aca="false">IF(A1472="","",A1472-WEEKDAY(A1472,2)+1)</f>
        <v/>
      </c>
      <c r="H1472" s="26" t="str">
        <f aca="false">IF(A1472="","",DATE(YEAR(A1472),MONTH(A1472),1))</f>
        <v/>
      </c>
    </row>
    <row r="1473" customFormat="false" ht="15" hidden="false" customHeight="false" outlineLevel="0" collapsed="false">
      <c r="A1473" s="22"/>
      <c r="B1473" s="23"/>
      <c r="C1473" s="23"/>
      <c r="D1473" s="24"/>
      <c r="E1473" s="23"/>
      <c r="F1473" s="15" t="str">
        <f aca="false">IF(B1473="","",IFERROR(INDEX(Configurações!$B$7:$B$30,MATCH(B1473,Configurações!$A$7:$A$30,0)),"?"))</f>
        <v/>
      </c>
      <c r="G1473" s="25" t="str">
        <f aca="false">IF(A1473="","",A1473-WEEKDAY(A1473,2)+1)</f>
        <v/>
      </c>
      <c r="H1473" s="26" t="str">
        <f aca="false">IF(A1473="","",DATE(YEAR(A1473),MONTH(A1473),1))</f>
        <v/>
      </c>
    </row>
    <row r="1474" customFormat="false" ht="15" hidden="false" customHeight="false" outlineLevel="0" collapsed="false">
      <c r="A1474" s="22"/>
      <c r="B1474" s="23"/>
      <c r="C1474" s="23"/>
      <c r="D1474" s="24"/>
      <c r="E1474" s="23"/>
      <c r="F1474" s="15" t="str">
        <f aca="false">IF(B1474="","",IFERROR(INDEX(Configurações!$B$7:$B$30,MATCH(B1474,Configurações!$A$7:$A$30,0)),"?"))</f>
        <v/>
      </c>
      <c r="G1474" s="25" t="str">
        <f aca="false">IF(A1474="","",A1474-WEEKDAY(A1474,2)+1)</f>
        <v/>
      </c>
      <c r="H1474" s="26" t="str">
        <f aca="false">IF(A1474="","",DATE(YEAR(A1474),MONTH(A1474),1))</f>
        <v/>
      </c>
    </row>
    <row r="1475" customFormat="false" ht="15" hidden="false" customHeight="false" outlineLevel="0" collapsed="false">
      <c r="A1475" s="22"/>
      <c r="B1475" s="23"/>
      <c r="C1475" s="23"/>
      <c r="D1475" s="24"/>
      <c r="E1475" s="23"/>
      <c r="F1475" s="15" t="str">
        <f aca="false">IF(B1475="","",IFERROR(INDEX(Configurações!$B$7:$B$30,MATCH(B1475,Configurações!$A$7:$A$30,0)),"?"))</f>
        <v/>
      </c>
      <c r="G1475" s="25" t="str">
        <f aca="false">IF(A1475="","",A1475-WEEKDAY(A1475,2)+1)</f>
        <v/>
      </c>
      <c r="H1475" s="26" t="str">
        <f aca="false">IF(A1475="","",DATE(YEAR(A1475),MONTH(A1475),1))</f>
        <v/>
      </c>
    </row>
    <row r="1476" customFormat="false" ht="15" hidden="false" customHeight="false" outlineLevel="0" collapsed="false">
      <c r="A1476" s="22"/>
      <c r="B1476" s="23"/>
      <c r="C1476" s="23"/>
      <c r="D1476" s="24"/>
      <c r="E1476" s="23"/>
      <c r="F1476" s="15" t="str">
        <f aca="false">IF(B1476="","",IFERROR(INDEX(Configurações!$B$7:$B$30,MATCH(B1476,Configurações!$A$7:$A$30,0)),"?"))</f>
        <v/>
      </c>
      <c r="G1476" s="25" t="str">
        <f aca="false">IF(A1476="","",A1476-WEEKDAY(A1476,2)+1)</f>
        <v/>
      </c>
      <c r="H1476" s="26" t="str">
        <f aca="false">IF(A1476="","",DATE(YEAR(A1476),MONTH(A1476),1))</f>
        <v/>
      </c>
    </row>
    <row r="1477" customFormat="false" ht="15" hidden="false" customHeight="false" outlineLevel="0" collapsed="false">
      <c r="A1477" s="22"/>
      <c r="B1477" s="23"/>
      <c r="C1477" s="23"/>
      <c r="D1477" s="24"/>
      <c r="E1477" s="23"/>
      <c r="F1477" s="15" t="str">
        <f aca="false">IF(B1477="","",IFERROR(INDEX(Configurações!$B$7:$B$30,MATCH(B1477,Configurações!$A$7:$A$30,0)),"?"))</f>
        <v/>
      </c>
      <c r="G1477" s="25" t="str">
        <f aca="false">IF(A1477="","",A1477-WEEKDAY(A1477,2)+1)</f>
        <v/>
      </c>
      <c r="H1477" s="26" t="str">
        <f aca="false">IF(A1477="","",DATE(YEAR(A1477),MONTH(A1477),1))</f>
        <v/>
      </c>
    </row>
    <row r="1478" customFormat="false" ht="15" hidden="false" customHeight="false" outlineLevel="0" collapsed="false">
      <c r="A1478" s="22"/>
      <c r="B1478" s="23"/>
      <c r="C1478" s="23"/>
      <c r="D1478" s="24"/>
      <c r="E1478" s="23"/>
      <c r="F1478" s="15" t="str">
        <f aca="false">IF(B1478="","",IFERROR(INDEX(Configurações!$B$7:$B$30,MATCH(B1478,Configurações!$A$7:$A$30,0)),"?"))</f>
        <v/>
      </c>
      <c r="G1478" s="25" t="str">
        <f aca="false">IF(A1478="","",A1478-WEEKDAY(A1478,2)+1)</f>
        <v/>
      </c>
      <c r="H1478" s="26" t="str">
        <f aca="false">IF(A1478="","",DATE(YEAR(A1478),MONTH(A1478),1))</f>
        <v/>
      </c>
    </row>
    <row r="1479" customFormat="false" ht="15" hidden="false" customHeight="false" outlineLevel="0" collapsed="false">
      <c r="A1479" s="22"/>
      <c r="B1479" s="23"/>
      <c r="C1479" s="23"/>
      <c r="D1479" s="24"/>
      <c r="E1479" s="23"/>
      <c r="F1479" s="15" t="str">
        <f aca="false">IF(B1479="","",IFERROR(INDEX(Configurações!$B$7:$B$30,MATCH(B1479,Configurações!$A$7:$A$30,0)),"?"))</f>
        <v/>
      </c>
      <c r="G1479" s="25" t="str">
        <f aca="false">IF(A1479="","",A1479-WEEKDAY(A1479,2)+1)</f>
        <v/>
      </c>
      <c r="H1479" s="26" t="str">
        <f aca="false">IF(A1479="","",DATE(YEAR(A1479),MONTH(A1479),1))</f>
        <v/>
      </c>
    </row>
    <row r="1480" customFormat="false" ht="15" hidden="false" customHeight="false" outlineLevel="0" collapsed="false">
      <c r="A1480" s="22"/>
      <c r="B1480" s="23"/>
      <c r="C1480" s="23"/>
      <c r="D1480" s="24"/>
      <c r="E1480" s="23"/>
      <c r="F1480" s="15" t="str">
        <f aca="false">IF(B1480="","",IFERROR(INDEX(Configurações!$B$7:$B$30,MATCH(B1480,Configurações!$A$7:$A$30,0)),"?"))</f>
        <v/>
      </c>
      <c r="G1480" s="25" t="str">
        <f aca="false">IF(A1480="","",A1480-WEEKDAY(A1480,2)+1)</f>
        <v/>
      </c>
      <c r="H1480" s="26" t="str">
        <f aca="false">IF(A1480="","",DATE(YEAR(A1480),MONTH(A1480),1))</f>
        <v/>
      </c>
    </row>
    <row r="1481" customFormat="false" ht="15" hidden="false" customHeight="false" outlineLevel="0" collapsed="false">
      <c r="A1481" s="22"/>
      <c r="B1481" s="23"/>
      <c r="C1481" s="23"/>
      <c r="D1481" s="24"/>
      <c r="E1481" s="23"/>
      <c r="F1481" s="15" t="str">
        <f aca="false">IF(B1481="","",IFERROR(INDEX(Configurações!$B$7:$B$30,MATCH(B1481,Configurações!$A$7:$A$30,0)),"?"))</f>
        <v/>
      </c>
      <c r="G1481" s="25" t="str">
        <f aca="false">IF(A1481="","",A1481-WEEKDAY(A1481,2)+1)</f>
        <v/>
      </c>
      <c r="H1481" s="26" t="str">
        <f aca="false">IF(A1481="","",DATE(YEAR(A1481),MONTH(A1481),1))</f>
        <v/>
      </c>
    </row>
    <row r="1482" customFormat="false" ht="15" hidden="false" customHeight="false" outlineLevel="0" collapsed="false">
      <c r="A1482" s="22"/>
      <c r="B1482" s="23"/>
      <c r="C1482" s="23"/>
      <c r="D1482" s="24"/>
      <c r="E1482" s="23"/>
      <c r="F1482" s="15" t="str">
        <f aca="false">IF(B1482="","",IFERROR(INDEX(Configurações!$B$7:$B$30,MATCH(B1482,Configurações!$A$7:$A$30,0)),"?"))</f>
        <v/>
      </c>
      <c r="G1482" s="25" t="str">
        <f aca="false">IF(A1482="","",A1482-WEEKDAY(A1482,2)+1)</f>
        <v/>
      </c>
      <c r="H1482" s="26" t="str">
        <f aca="false">IF(A1482="","",DATE(YEAR(A1482),MONTH(A1482),1))</f>
        <v/>
      </c>
    </row>
    <row r="1483" customFormat="false" ht="15" hidden="false" customHeight="false" outlineLevel="0" collapsed="false">
      <c r="A1483" s="22"/>
      <c r="B1483" s="23"/>
      <c r="C1483" s="23"/>
      <c r="D1483" s="24"/>
      <c r="E1483" s="23"/>
      <c r="F1483" s="15" t="str">
        <f aca="false">IF(B1483="","",IFERROR(INDEX(Configurações!$B$7:$B$30,MATCH(B1483,Configurações!$A$7:$A$30,0)),"?"))</f>
        <v/>
      </c>
      <c r="G1483" s="25" t="str">
        <f aca="false">IF(A1483="","",A1483-WEEKDAY(A1483,2)+1)</f>
        <v/>
      </c>
      <c r="H1483" s="26" t="str">
        <f aca="false">IF(A1483="","",DATE(YEAR(A1483),MONTH(A1483),1))</f>
        <v/>
      </c>
    </row>
    <row r="1484" customFormat="false" ht="15" hidden="false" customHeight="false" outlineLevel="0" collapsed="false">
      <c r="A1484" s="22"/>
      <c r="B1484" s="23"/>
      <c r="C1484" s="23"/>
      <c r="D1484" s="24"/>
      <c r="E1484" s="23"/>
      <c r="F1484" s="15" t="str">
        <f aca="false">IF(B1484="","",IFERROR(INDEX(Configurações!$B$7:$B$30,MATCH(B1484,Configurações!$A$7:$A$30,0)),"?"))</f>
        <v/>
      </c>
      <c r="G1484" s="25" t="str">
        <f aca="false">IF(A1484="","",A1484-WEEKDAY(A1484,2)+1)</f>
        <v/>
      </c>
      <c r="H1484" s="26" t="str">
        <f aca="false">IF(A1484="","",DATE(YEAR(A1484),MONTH(A1484),1))</f>
        <v/>
      </c>
    </row>
    <row r="1485" customFormat="false" ht="15" hidden="false" customHeight="false" outlineLevel="0" collapsed="false">
      <c r="A1485" s="22"/>
      <c r="B1485" s="23"/>
      <c r="C1485" s="23"/>
      <c r="D1485" s="24"/>
      <c r="E1485" s="23"/>
      <c r="F1485" s="15" t="str">
        <f aca="false">IF(B1485="","",IFERROR(INDEX(Configurações!$B$7:$B$30,MATCH(B1485,Configurações!$A$7:$A$30,0)),"?"))</f>
        <v/>
      </c>
      <c r="G1485" s="25" t="str">
        <f aca="false">IF(A1485="","",A1485-WEEKDAY(A1485,2)+1)</f>
        <v/>
      </c>
      <c r="H1485" s="26" t="str">
        <f aca="false">IF(A1485="","",DATE(YEAR(A1485),MONTH(A1485),1))</f>
        <v/>
      </c>
    </row>
    <row r="1486" customFormat="false" ht="15" hidden="false" customHeight="false" outlineLevel="0" collapsed="false">
      <c r="A1486" s="22"/>
      <c r="B1486" s="23"/>
      <c r="C1486" s="23"/>
      <c r="D1486" s="24"/>
      <c r="E1486" s="23"/>
      <c r="F1486" s="15" t="str">
        <f aca="false">IF(B1486="","",IFERROR(INDEX(Configurações!$B$7:$B$30,MATCH(B1486,Configurações!$A$7:$A$30,0)),"?"))</f>
        <v/>
      </c>
      <c r="G1486" s="25" t="str">
        <f aca="false">IF(A1486="","",A1486-WEEKDAY(A1486,2)+1)</f>
        <v/>
      </c>
      <c r="H1486" s="26" t="str">
        <f aca="false">IF(A1486="","",DATE(YEAR(A1486),MONTH(A1486),1))</f>
        <v/>
      </c>
    </row>
    <row r="1487" customFormat="false" ht="15" hidden="false" customHeight="false" outlineLevel="0" collapsed="false">
      <c r="A1487" s="22"/>
      <c r="B1487" s="23"/>
      <c r="C1487" s="23"/>
      <c r="D1487" s="24"/>
      <c r="E1487" s="23"/>
      <c r="F1487" s="15" t="str">
        <f aca="false">IF(B1487="","",IFERROR(INDEX(Configurações!$B$7:$B$30,MATCH(B1487,Configurações!$A$7:$A$30,0)),"?"))</f>
        <v/>
      </c>
      <c r="G1487" s="25" t="str">
        <f aca="false">IF(A1487="","",A1487-WEEKDAY(A1487,2)+1)</f>
        <v/>
      </c>
      <c r="H1487" s="26" t="str">
        <f aca="false">IF(A1487="","",DATE(YEAR(A1487),MONTH(A1487),1))</f>
        <v/>
      </c>
    </row>
    <row r="1488" customFormat="false" ht="15" hidden="false" customHeight="false" outlineLevel="0" collapsed="false">
      <c r="A1488" s="22"/>
      <c r="B1488" s="23"/>
      <c r="C1488" s="23"/>
      <c r="D1488" s="24"/>
      <c r="E1488" s="23"/>
      <c r="F1488" s="15" t="str">
        <f aca="false">IF(B1488="","",IFERROR(INDEX(Configurações!$B$7:$B$30,MATCH(B1488,Configurações!$A$7:$A$30,0)),"?"))</f>
        <v/>
      </c>
      <c r="G1488" s="25" t="str">
        <f aca="false">IF(A1488="","",A1488-WEEKDAY(A1488,2)+1)</f>
        <v/>
      </c>
      <c r="H1488" s="26" t="str">
        <f aca="false">IF(A1488="","",DATE(YEAR(A1488),MONTH(A1488),1))</f>
        <v/>
      </c>
    </row>
    <row r="1489" customFormat="false" ht="15" hidden="false" customHeight="false" outlineLevel="0" collapsed="false">
      <c r="A1489" s="22"/>
      <c r="B1489" s="23"/>
      <c r="C1489" s="23"/>
      <c r="D1489" s="24"/>
      <c r="E1489" s="23"/>
      <c r="F1489" s="15" t="str">
        <f aca="false">IF(B1489="","",IFERROR(INDEX(Configurações!$B$7:$B$30,MATCH(B1489,Configurações!$A$7:$A$30,0)),"?"))</f>
        <v/>
      </c>
      <c r="G1489" s="25" t="str">
        <f aca="false">IF(A1489="","",A1489-WEEKDAY(A1489,2)+1)</f>
        <v/>
      </c>
      <c r="H1489" s="26" t="str">
        <f aca="false">IF(A1489="","",DATE(YEAR(A1489),MONTH(A1489),1))</f>
        <v/>
      </c>
    </row>
    <row r="1490" customFormat="false" ht="15" hidden="false" customHeight="false" outlineLevel="0" collapsed="false">
      <c r="A1490" s="22"/>
      <c r="B1490" s="23"/>
      <c r="C1490" s="23"/>
      <c r="D1490" s="24"/>
      <c r="E1490" s="23"/>
      <c r="F1490" s="15" t="str">
        <f aca="false">IF(B1490="","",IFERROR(INDEX(Configurações!$B$7:$B$30,MATCH(B1490,Configurações!$A$7:$A$30,0)),"?"))</f>
        <v/>
      </c>
      <c r="G1490" s="25" t="str">
        <f aca="false">IF(A1490="","",A1490-WEEKDAY(A1490,2)+1)</f>
        <v/>
      </c>
      <c r="H1490" s="26" t="str">
        <f aca="false">IF(A1490="","",DATE(YEAR(A1490),MONTH(A1490),1))</f>
        <v/>
      </c>
    </row>
    <row r="1491" customFormat="false" ht="15" hidden="false" customHeight="false" outlineLevel="0" collapsed="false">
      <c r="A1491" s="22"/>
      <c r="B1491" s="23"/>
      <c r="C1491" s="23"/>
      <c r="D1491" s="24"/>
      <c r="E1491" s="23"/>
      <c r="F1491" s="15" t="str">
        <f aca="false">IF(B1491="","",IFERROR(INDEX(Configurações!$B$7:$B$30,MATCH(B1491,Configurações!$A$7:$A$30,0)),"?"))</f>
        <v/>
      </c>
      <c r="G1491" s="25" t="str">
        <f aca="false">IF(A1491="","",A1491-WEEKDAY(A1491,2)+1)</f>
        <v/>
      </c>
      <c r="H1491" s="26" t="str">
        <f aca="false">IF(A1491="","",DATE(YEAR(A1491),MONTH(A1491),1))</f>
        <v/>
      </c>
    </row>
    <row r="1492" customFormat="false" ht="15" hidden="false" customHeight="false" outlineLevel="0" collapsed="false">
      <c r="A1492" s="22"/>
      <c r="B1492" s="23"/>
      <c r="C1492" s="23"/>
      <c r="D1492" s="24"/>
      <c r="E1492" s="23"/>
      <c r="F1492" s="15" t="str">
        <f aca="false">IF(B1492="","",IFERROR(INDEX(Configurações!$B$7:$B$30,MATCH(B1492,Configurações!$A$7:$A$30,0)),"?"))</f>
        <v/>
      </c>
      <c r="G1492" s="25" t="str">
        <f aca="false">IF(A1492="","",A1492-WEEKDAY(A1492,2)+1)</f>
        <v/>
      </c>
      <c r="H1492" s="26" t="str">
        <f aca="false">IF(A1492="","",DATE(YEAR(A1492),MONTH(A1492),1))</f>
        <v/>
      </c>
    </row>
    <row r="1493" customFormat="false" ht="15" hidden="false" customHeight="false" outlineLevel="0" collapsed="false">
      <c r="A1493" s="22"/>
      <c r="B1493" s="23"/>
      <c r="C1493" s="23"/>
      <c r="D1493" s="24"/>
      <c r="E1493" s="23"/>
      <c r="F1493" s="15" t="str">
        <f aca="false">IF(B1493="","",IFERROR(INDEX(Configurações!$B$7:$B$30,MATCH(B1493,Configurações!$A$7:$A$30,0)),"?"))</f>
        <v/>
      </c>
      <c r="G1493" s="25" t="str">
        <f aca="false">IF(A1493="","",A1493-WEEKDAY(A1493,2)+1)</f>
        <v/>
      </c>
      <c r="H1493" s="26" t="str">
        <f aca="false">IF(A1493="","",DATE(YEAR(A1493),MONTH(A1493),1))</f>
        <v/>
      </c>
    </row>
    <row r="1494" customFormat="false" ht="15" hidden="false" customHeight="false" outlineLevel="0" collapsed="false">
      <c r="A1494" s="22"/>
      <c r="B1494" s="23"/>
      <c r="C1494" s="23"/>
      <c r="D1494" s="24"/>
      <c r="E1494" s="23"/>
      <c r="F1494" s="15" t="str">
        <f aca="false">IF(B1494="","",IFERROR(INDEX(Configurações!$B$7:$B$30,MATCH(B1494,Configurações!$A$7:$A$30,0)),"?"))</f>
        <v/>
      </c>
      <c r="G1494" s="25" t="str">
        <f aca="false">IF(A1494="","",A1494-WEEKDAY(A1494,2)+1)</f>
        <v/>
      </c>
      <c r="H1494" s="26" t="str">
        <f aca="false">IF(A1494="","",DATE(YEAR(A1494),MONTH(A1494),1))</f>
        <v/>
      </c>
    </row>
    <row r="1495" customFormat="false" ht="15" hidden="false" customHeight="false" outlineLevel="0" collapsed="false">
      <c r="A1495" s="22"/>
      <c r="B1495" s="23"/>
      <c r="C1495" s="23"/>
      <c r="D1495" s="24"/>
      <c r="E1495" s="23"/>
      <c r="F1495" s="15" t="str">
        <f aca="false">IF(B1495="","",IFERROR(INDEX(Configurações!$B$7:$B$30,MATCH(B1495,Configurações!$A$7:$A$30,0)),"?"))</f>
        <v/>
      </c>
      <c r="G1495" s="25" t="str">
        <f aca="false">IF(A1495="","",A1495-WEEKDAY(A1495,2)+1)</f>
        <v/>
      </c>
      <c r="H1495" s="26" t="str">
        <f aca="false">IF(A1495="","",DATE(YEAR(A1495),MONTH(A1495),1))</f>
        <v/>
      </c>
    </row>
    <row r="1496" customFormat="false" ht="15" hidden="false" customHeight="false" outlineLevel="0" collapsed="false">
      <c r="A1496" s="22"/>
      <c r="B1496" s="23"/>
      <c r="C1496" s="23"/>
      <c r="D1496" s="24"/>
      <c r="E1496" s="23"/>
      <c r="F1496" s="15" t="str">
        <f aca="false">IF(B1496="","",IFERROR(INDEX(Configurações!$B$7:$B$30,MATCH(B1496,Configurações!$A$7:$A$30,0)),"?"))</f>
        <v/>
      </c>
      <c r="G1496" s="25" t="str">
        <f aca="false">IF(A1496="","",A1496-WEEKDAY(A1496,2)+1)</f>
        <v/>
      </c>
      <c r="H1496" s="26" t="str">
        <f aca="false">IF(A1496="","",DATE(YEAR(A1496),MONTH(A1496),1))</f>
        <v/>
      </c>
    </row>
    <row r="1497" customFormat="false" ht="15" hidden="false" customHeight="false" outlineLevel="0" collapsed="false">
      <c r="A1497" s="22"/>
      <c r="B1497" s="23"/>
      <c r="C1497" s="23"/>
      <c r="D1497" s="24"/>
      <c r="E1497" s="23"/>
      <c r="F1497" s="15" t="str">
        <f aca="false">IF(B1497="","",IFERROR(INDEX(Configurações!$B$7:$B$30,MATCH(B1497,Configurações!$A$7:$A$30,0)),"?"))</f>
        <v/>
      </c>
      <c r="G1497" s="25" t="str">
        <f aca="false">IF(A1497="","",A1497-WEEKDAY(A1497,2)+1)</f>
        <v/>
      </c>
      <c r="H1497" s="26" t="str">
        <f aca="false">IF(A1497="","",DATE(YEAR(A1497),MONTH(A1497),1))</f>
        <v/>
      </c>
    </row>
    <row r="1498" customFormat="false" ht="15" hidden="false" customHeight="false" outlineLevel="0" collapsed="false">
      <c r="A1498" s="22"/>
      <c r="B1498" s="23"/>
      <c r="C1498" s="23"/>
      <c r="D1498" s="24"/>
      <c r="E1498" s="23"/>
      <c r="F1498" s="15" t="str">
        <f aca="false">IF(B1498="","",IFERROR(INDEX(Configurações!$B$7:$B$30,MATCH(B1498,Configurações!$A$7:$A$30,0)),"?"))</f>
        <v/>
      </c>
      <c r="G1498" s="25" t="str">
        <f aca="false">IF(A1498="","",A1498-WEEKDAY(A1498,2)+1)</f>
        <v/>
      </c>
      <c r="H1498" s="26" t="str">
        <f aca="false">IF(A1498="","",DATE(YEAR(A1498),MONTH(A1498),1))</f>
        <v/>
      </c>
    </row>
    <row r="1499" customFormat="false" ht="15" hidden="false" customHeight="false" outlineLevel="0" collapsed="false">
      <c r="A1499" s="22"/>
      <c r="B1499" s="23"/>
      <c r="C1499" s="23"/>
      <c r="D1499" s="24"/>
      <c r="E1499" s="23"/>
      <c r="F1499" s="15" t="str">
        <f aca="false">IF(B1499="","",IFERROR(INDEX(Configurações!$B$7:$B$30,MATCH(B1499,Configurações!$A$7:$A$30,0)),"?"))</f>
        <v/>
      </c>
      <c r="G1499" s="25" t="str">
        <f aca="false">IF(A1499="","",A1499-WEEKDAY(A1499,2)+1)</f>
        <v/>
      </c>
      <c r="H1499" s="26" t="str">
        <f aca="false">IF(A1499="","",DATE(YEAR(A1499),MONTH(A1499),1))</f>
        <v/>
      </c>
    </row>
    <row r="1500" customFormat="false" ht="15" hidden="false" customHeight="false" outlineLevel="0" collapsed="false">
      <c r="A1500" s="22"/>
      <c r="B1500" s="23"/>
      <c r="C1500" s="23"/>
      <c r="D1500" s="24"/>
      <c r="E1500" s="23"/>
      <c r="F1500" s="15" t="str">
        <f aca="false">IF(B1500="","",IFERROR(INDEX(Configurações!$B$7:$B$30,MATCH(B1500,Configurações!$A$7:$A$30,0)),"?"))</f>
        <v/>
      </c>
      <c r="G1500" s="25" t="str">
        <f aca="false">IF(A1500="","",A1500-WEEKDAY(A1500,2)+1)</f>
        <v/>
      </c>
      <c r="H1500" s="26" t="str">
        <f aca="false">IF(A1500="","",DATE(YEAR(A1500),MONTH(A1500),1))</f>
        <v/>
      </c>
    </row>
    <row r="1501" customFormat="false" ht="15" hidden="false" customHeight="false" outlineLevel="0" collapsed="false">
      <c r="A1501" s="22"/>
      <c r="B1501" s="23"/>
      <c r="C1501" s="23"/>
      <c r="D1501" s="24"/>
      <c r="E1501" s="23"/>
      <c r="F1501" s="15" t="str">
        <f aca="false">IF(B1501="","",IFERROR(INDEX(Configurações!$B$7:$B$30,MATCH(B1501,Configurações!$A$7:$A$30,0)),"?"))</f>
        <v/>
      </c>
      <c r="G1501" s="25" t="str">
        <f aca="false">IF(A1501="","",A1501-WEEKDAY(A1501,2)+1)</f>
        <v/>
      </c>
      <c r="H1501" s="26" t="str">
        <f aca="false">IF(A1501="","",DATE(YEAR(A1501),MONTH(A1501),1))</f>
        <v/>
      </c>
    </row>
    <row r="1502" customFormat="false" ht="15" hidden="false" customHeight="false" outlineLevel="0" collapsed="false">
      <c r="A1502" s="22"/>
      <c r="B1502" s="23"/>
      <c r="C1502" s="23"/>
      <c r="D1502" s="24"/>
      <c r="E1502" s="23"/>
      <c r="F1502" s="15" t="str">
        <f aca="false">IF(B1502="","",IFERROR(INDEX(Configurações!$B$7:$B$30,MATCH(B1502,Configurações!$A$7:$A$30,0)),"?"))</f>
        <v/>
      </c>
      <c r="G1502" s="25" t="str">
        <f aca="false">IF(A1502="","",A1502-WEEKDAY(A1502,2)+1)</f>
        <v/>
      </c>
      <c r="H1502" s="26" t="str">
        <f aca="false">IF(A1502="","",DATE(YEAR(A1502),MONTH(A1502),1))</f>
        <v/>
      </c>
    </row>
    <row r="1503" customFormat="false" ht="15" hidden="false" customHeight="false" outlineLevel="0" collapsed="false">
      <c r="A1503" s="22"/>
      <c r="B1503" s="23"/>
      <c r="C1503" s="23"/>
      <c r="D1503" s="24"/>
      <c r="E1503" s="23"/>
      <c r="F1503" s="15" t="str">
        <f aca="false">IF(B1503="","",IFERROR(INDEX(Configurações!$B$7:$B$30,MATCH(B1503,Configurações!$A$7:$A$30,0)),"?"))</f>
        <v/>
      </c>
      <c r="G1503" s="25" t="str">
        <f aca="false">IF(A1503="","",A1503-WEEKDAY(A1503,2)+1)</f>
        <v/>
      </c>
      <c r="H1503" s="26" t="str">
        <f aca="false">IF(A1503="","",DATE(YEAR(A1503),MONTH(A1503),1))</f>
        <v/>
      </c>
    </row>
    <row r="1504" customFormat="false" ht="15" hidden="false" customHeight="false" outlineLevel="0" collapsed="false">
      <c r="A1504" s="22"/>
      <c r="B1504" s="23"/>
      <c r="C1504" s="23"/>
      <c r="D1504" s="24"/>
      <c r="E1504" s="23"/>
      <c r="F1504" s="15" t="str">
        <f aca="false">IF(B1504="","",IFERROR(INDEX(Configurações!$B$7:$B$30,MATCH(B1504,Configurações!$A$7:$A$30,0)),"?"))</f>
        <v/>
      </c>
      <c r="G1504" s="25" t="str">
        <f aca="false">IF(A1504="","",A1504-WEEKDAY(A1504,2)+1)</f>
        <v/>
      </c>
      <c r="H1504" s="26" t="str">
        <f aca="false">IF(A1504="","",DATE(YEAR(A1504),MONTH(A1504),1))</f>
        <v/>
      </c>
    </row>
    <row r="1505" customFormat="false" ht="15" hidden="false" customHeight="false" outlineLevel="0" collapsed="false">
      <c r="A1505" s="22"/>
      <c r="B1505" s="23"/>
      <c r="C1505" s="23"/>
      <c r="D1505" s="24"/>
      <c r="E1505" s="23"/>
      <c r="F1505" s="15" t="str">
        <f aca="false">IF(B1505="","",IFERROR(INDEX(Configurações!$B$7:$B$30,MATCH(B1505,Configurações!$A$7:$A$30,0)),"?"))</f>
        <v/>
      </c>
      <c r="G1505" s="25" t="str">
        <f aca="false">IF(A1505="","",A1505-WEEKDAY(A1505,2)+1)</f>
        <v/>
      </c>
      <c r="H1505" s="26" t="str">
        <f aca="false">IF(A1505="","",DATE(YEAR(A1505),MONTH(A1505),1))</f>
        <v/>
      </c>
    </row>
    <row r="1506" customFormat="false" ht="15" hidden="false" customHeight="false" outlineLevel="0" collapsed="false">
      <c r="A1506" s="22"/>
      <c r="B1506" s="23"/>
      <c r="C1506" s="23"/>
      <c r="D1506" s="24"/>
      <c r="E1506" s="23"/>
      <c r="F1506" s="15" t="str">
        <f aca="false">IF(B1506="","",IFERROR(INDEX(Configurações!$B$7:$B$30,MATCH(B1506,Configurações!$A$7:$A$30,0)),"?"))</f>
        <v/>
      </c>
      <c r="G1506" s="25" t="str">
        <f aca="false">IF(A1506="","",A1506-WEEKDAY(A1506,2)+1)</f>
        <v/>
      </c>
      <c r="H1506" s="26" t="str">
        <f aca="false">IF(A1506="","",DATE(YEAR(A1506),MONTH(A1506),1))</f>
        <v/>
      </c>
    </row>
    <row r="1507" customFormat="false" ht="15" hidden="false" customHeight="false" outlineLevel="0" collapsed="false">
      <c r="A1507" s="22"/>
      <c r="B1507" s="23"/>
      <c r="C1507" s="23"/>
      <c r="D1507" s="24"/>
      <c r="E1507" s="23"/>
      <c r="F1507" s="15" t="str">
        <f aca="false">IF(B1507="","",IFERROR(INDEX(Configurações!$B$7:$B$30,MATCH(B1507,Configurações!$A$7:$A$30,0)),"?"))</f>
        <v/>
      </c>
      <c r="G1507" s="25" t="str">
        <f aca="false">IF(A1507="","",A1507-WEEKDAY(A1507,2)+1)</f>
        <v/>
      </c>
      <c r="H1507" s="26" t="str">
        <f aca="false">IF(A1507="","",DATE(YEAR(A1507),MONTH(A1507),1))</f>
        <v/>
      </c>
    </row>
    <row r="1508" customFormat="false" ht="15" hidden="false" customHeight="false" outlineLevel="0" collapsed="false">
      <c r="A1508" s="22"/>
      <c r="B1508" s="23"/>
      <c r="C1508" s="23"/>
      <c r="D1508" s="24"/>
      <c r="E1508" s="23"/>
      <c r="F1508" s="15" t="str">
        <f aca="false">IF(B1508="","",IFERROR(INDEX(Configurações!$B$7:$B$30,MATCH(B1508,Configurações!$A$7:$A$30,0)),"?"))</f>
        <v/>
      </c>
      <c r="G1508" s="25" t="str">
        <f aca="false">IF(A1508="","",A1508-WEEKDAY(A1508,2)+1)</f>
        <v/>
      </c>
      <c r="H1508" s="26" t="str">
        <f aca="false">IF(A1508="","",DATE(YEAR(A1508),MONTH(A1508),1))</f>
        <v/>
      </c>
    </row>
    <row r="1509" customFormat="false" ht="15" hidden="false" customHeight="false" outlineLevel="0" collapsed="false">
      <c r="A1509" s="22"/>
      <c r="B1509" s="23"/>
      <c r="C1509" s="23"/>
      <c r="D1509" s="24"/>
      <c r="E1509" s="23"/>
      <c r="F1509" s="15" t="str">
        <f aca="false">IF(B1509="","",IFERROR(INDEX(Configurações!$B$7:$B$30,MATCH(B1509,Configurações!$A$7:$A$30,0)),"?"))</f>
        <v/>
      </c>
      <c r="G1509" s="25" t="str">
        <f aca="false">IF(A1509="","",A1509-WEEKDAY(A1509,2)+1)</f>
        <v/>
      </c>
      <c r="H1509" s="26" t="str">
        <f aca="false">IF(A1509="","",DATE(YEAR(A1509),MONTH(A1509),1))</f>
        <v/>
      </c>
    </row>
    <row r="1510" customFormat="false" ht="15" hidden="false" customHeight="false" outlineLevel="0" collapsed="false">
      <c r="A1510" s="22"/>
      <c r="B1510" s="23"/>
      <c r="C1510" s="23"/>
      <c r="D1510" s="24"/>
      <c r="E1510" s="23"/>
      <c r="F1510" s="15" t="str">
        <f aca="false">IF(B1510="","",IFERROR(INDEX(Configurações!$B$7:$B$30,MATCH(B1510,Configurações!$A$7:$A$30,0)),"?"))</f>
        <v/>
      </c>
      <c r="G1510" s="25" t="str">
        <f aca="false">IF(A1510="","",A1510-WEEKDAY(A1510,2)+1)</f>
        <v/>
      </c>
      <c r="H1510" s="26" t="str">
        <f aca="false">IF(A1510="","",DATE(YEAR(A1510),MONTH(A1510),1))</f>
        <v/>
      </c>
    </row>
    <row r="1511" customFormat="false" ht="15" hidden="false" customHeight="false" outlineLevel="0" collapsed="false">
      <c r="A1511" s="22"/>
      <c r="B1511" s="23"/>
      <c r="C1511" s="23"/>
      <c r="D1511" s="24"/>
      <c r="E1511" s="23"/>
      <c r="F1511" s="15" t="str">
        <f aca="false">IF(B1511="","",IFERROR(INDEX(Configurações!$B$7:$B$30,MATCH(B1511,Configurações!$A$7:$A$30,0)),"?"))</f>
        <v/>
      </c>
      <c r="G1511" s="25" t="str">
        <f aca="false">IF(A1511="","",A1511-WEEKDAY(A1511,2)+1)</f>
        <v/>
      </c>
      <c r="H1511" s="26" t="str">
        <f aca="false">IF(A1511="","",DATE(YEAR(A1511),MONTH(A1511),1))</f>
        <v/>
      </c>
    </row>
    <row r="1512" customFormat="false" ht="15" hidden="false" customHeight="false" outlineLevel="0" collapsed="false">
      <c r="A1512" s="22"/>
      <c r="B1512" s="23"/>
      <c r="C1512" s="23"/>
      <c r="D1512" s="24"/>
      <c r="E1512" s="23"/>
      <c r="F1512" s="15" t="str">
        <f aca="false">IF(B1512="","",IFERROR(INDEX(Configurações!$B$7:$B$30,MATCH(B1512,Configurações!$A$7:$A$30,0)),"?"))</f>
        <v/>
      </c>
      <c r="G1512" s="25" t="str">
        <f aca="false">IF(A1512="","",A1512-WEEKDAY(A1512,2)+1)</f>
        <v/>
      </c>
      <c r="H1512" s="26" t="str">
        <f aca="false">IF(A1512="","",DATE(YEAR(A1512),MONTH(A1512),1))</f>
        <v/>
      </c>
    </row>
    <row r="1513" customFormat="false" ht="15" hidden="false" customHeight="false" outlineLevel="0" collapsed="false">
      <c r="A1513" s="22"/>
      <c r="B1513" s="23"/>
      <c r="C1513" s="23"/>
      <c r="D1513" s="24"/>
      <c r="E1513" s="23"/>
      <c r="F1513" s="15" t="str">
        <f aca="false">IF(B1513="","",IFERROR(INDEX(Configurações!$B$7:$B$30,MATCH(B1513,Configurações!$A$7:$A$30,0)),"?"))</f>
        <v/>
      </c>
      <c r="G1513" s="25" t="str">
        <f aca="false">IF(A1513="","",A1513-WEEKDAY(A1513,2)+1)</f>
        <v/>
      </c>
      <c r="H1513" s="26" t="str">
        <f aca="false">IF(A1513="","",DATE(YEAR(A1513),MONTH(A1513),1))</f>
        <v/>
      </c>
    </row>
    <row r="1514" customFormat="false" ht="15" hidden="false" customHeight="false" outlineLevel="0" collapsed="false">
      <c r="A1514" s="22"/>
      <c r="B1514" s="23"/>
      <c r="C1514" s="23"/>
      <c r="D1514" s="24"/>
      <c r="E1514" s="23"/>
      <c r="F1514" s="15" t="str">
        <f aca="false">IF(B1514="","",IFERROR(INDEX(Configurações!$B$7:$B$30,MATCH(B1514,Configurações!$A$7:$A$30,0)),"?"))</f>
        <v/>
      </c>
      <c r="G1514" s="25" t="str">
        <f aca="false">IF(A1514="","",A1514-WEEKDAY(A1514,2)+1)</f>
        <v/>
      </c>
      <c r="H1514" s="26" t="str">
        <f aca="false">IF(A1514="","",DATE(YEAR(A1514),MONTH(A1514),1))</f>
        <v/>
      </c>
    </row>
    <row r="1515" customFormat="false" ht="15" hidden="false" customHeight="false" outlineLevel="0" collapsed="false">
      <c r="A1515" s="22"/>
      <c r="B1515" s="23"/>
      <c r="C1515" s="23"/>
      <c r="D1515" s="24"/>
      <c r="E1515" s="23"/>
      <c r="F1515" s="15" t="str">
        <f aca="false">IF(B1515="","",IFERROR(INDEX(Configurações!$B$7:$B$30,MATCH(B1515,Configurações!$A$7:$A$30,0)),"?"))</f>
        <v/>
      </c>
      <c r="G1515" s="25" t="str">
        <f aca="false">IF(A1515="","",A1515-WEEKDAY(A1515,2)+1)</f>
        <v/>
      </c>
      <c r="H1515" s="26" t="str">
        <f aca="false">IF(A1515="","",DATE(YEAR(A1515),MONTH(A1515),1))</f>
        <v/>
      </c>
    </row>
    <row r="1516" customFormat="false" ht="15" hidden="false" customHeight="false" outlineLevel="0" collapsed="false">
      <c r="A1516" s="22"/>
      <c r="B1516" s="23"/>
      <c r="C1516" s="23"/>
      <c r="D1516" s="24"/>
      <c r="E1516" s="23"/>
      <c r="F1516" s="15" t="str">
        <f aca="false">IF(B1516="","",IFERROR(INDEX(Configurações!$B$7:$B$30,MATCH(B1516,Configurações!$A$7:$A$30,0)),"?"))</f>
        <v/>
      </c>
      <c r="G1516" s="25" t="str">
        <f aca="false">IF(A1516="","",A1516-WEEKDAY(A1516,2)+1)</f>
        <v/>
      </c>
      <c r="H1516" s="26" t="str">
        <f aca="false">IF(A1516="","",DATE(YEAR(A1516),MONTH(A1516),1))</f>
        <v/>
      </c>
    </row>
    <row r="1517" customFormat="false" ht="15" hidden="false" customHeight="false" outlineLevel="0" collapsed="false">
      <c r="A1517" s="22"/>
      <c r="B1517" s="23"/>
      <c r="C1517" s="23"/>
      <c r="D1517" s="24"/>
      <c r="E1517" s="23"/>
      <c r="F1517" s="15" t="str">
        <f aca="false">IF(B1517="","",IFERROR(INDEX(Configurações!$B$7:$B$30,MATCH(B1517,Configurações!$A$7:$A$30,0)),"?"))</f>
        <v/>
      </c>
      <c r="G1517" s="25" t="str">
        <f aca="false">IF(A1517="","",A1517-WEEKDAY(A1517,2)+1)</f>
        <v/>
      </c>
      <c r="H1517" s="26" t="str">
        <f aca="false">IF(A1517="","",DATE(YEAR(A1517),MONTH(A1517),1))</f>
        <v/>
      </c>
    </row>
    <row r="1518" customFormat="false" ht="15" hidden="false" customHeight="false" outlineLevel="0" collapsed="false">
      <c r="A1518" s="22"/>
      <c r="B1518" s="23"/>
      <c r="C1518" s="23"/>
      <c r="D1518" s="24"/>
      <c r="E1518" s="23"/>
      <c r="F1518" s="15" t="str">
        <f aca="false">IF(B1518="","",IFERROR(INDEX(Configurações!$B$7:$B$30,MATCH(B1518,Configurações!$A$7:$A$30,0)),"?"))</f>
        <v/>
      </c>
      <c r="G1518" s="25" t="str">
        <f aca="false">IF(A1518="","",A1518-WEEKDAY(A1518,2)+1)</f>
        <v/>
      </c>
      <c r="H1518" s="26" t="str">
        <f aca="false">IF(A1518="","",DATE(YEAR(A1518),MONTH(A1518),1))</f>
        <v/>
      </c>
    </row>
    <row r="1519" customFormat="false" ht="15" hidden="false" customHeight="false" outlineLevel="0" collapsed="false">
      <c r="A1519" s="22"/>
      <c r="B1519" s="23"/>
      <c r="C1519" s="23"/>
      <c r="D1519" s="24"/>
      <c r="E1519" s="23"/>
      <c r="F1519" s="15" t="str">
        <f aca="false">IF(B1519="","",IFERROR(INDEX(Configurações!$B$7:$B$30,MATCH(B1519,Configurações!$A$7:$A$30,0)),"?"))</f>
        <v/>
      </c>
      <c r="G1519" s="25" t="str">
        <f aca="false">IF(A1519="","",A1519-WEEKDAY(A1519,2)+1)</f>
        <v/>
      </c>
      <c r="H1519" s="26" t="str">
        <f aca="false">IF(A1519="","",DATE(YEAR(A1519),MONTH(A1519),1))</f>
        <v/>
      </c>
    </row>
    <row r="1520" customFormat="false" ht="15" hidden="false" customHeight="false" outlineLevel="0" collapsed="false">
      <c r="A1520" s="22"/>
      <c r="B1520" s="23"/>
      <c r="C1520" s="23"/>
      <c r="D1520" s="24"/>
      <c r="E1520" s="23"/>
      <c r="F1520" s="15" t="str">
        <f aca="false">IF(B1520="","",IFERROR(INDEX(Configurações!$B$7:$B$30,MATCH(B1520,Configurações!$A$7:$A$30,0)),"?"))</f>
        <v/>
      </c>
      <c r="G1520" s="25" t="str">
        <f aca="false">IF(A1520="","",A1520-WEEKDAY(A1520,2)+1)</f>
        <v/>
      </c>
      <c r="H1520" s="26" t="str">
        <f aca="false">IF(A1520="","",DATE(YEAR(A1520),MONTH(A1520),1))</f>
        <v/>
      </c>
    </row>
    <row r="1521" customFormat="false" ht="15" hidden="false" customHeight="false" outlineLevel="0" collapsed="false">
      <c r="A1521" s="22"/>
      <c r="B1521" s="23"/>
      <c r="C1521" s="23"/>
      <c r="D1521" s="24"/>
      <c r="E1521" s="23"/>
      <c r="F1521" s="15" t="str">
        <f aca="false">IF(B1521="","",IFERROR(INDEX(Configurações!$B$7:$B$30,MATCH(B1521,Configurações!$A$7:$A$30,0)),"?"))</f>
        <v/>
      </c>
      <c r="G1521" s="25" t="str">
        <f aca="false">IF(A1521="","",A1521-WEEKDAY(A1521,2)+1)</f>
        <v/>
      </c>
      <c r="H1521" s="26" t="str">
        <f aca="false">IF(A1521="","",DATE(YEAR(A1521),MONTH(A1521),1))</f>
        <v/>
      </c>
    </row>
    <row r="1522" customFormat="false" ht="15" hidden="false" customHeight="false" outlineLevel="0" collapsed="false">
      <c r="A1522" s="22"/>
      <c r="B1522" s="23"/>
      <c r="C1522" s="23"/>
      <c r="D1522" s="24"/>
      <c r="E1522" s="23"/>
      <c r="F1522" s="15" t="str">
        <f aca="false">IF(B1522="","",IFERROR(INDEX(Configurações!$B$7:$B$30,MATCH(B1522,Configurações!$A$7:$A$30,0)),"?"))</f>
        <v/>
      </c>
      <c r="G1522" s="25" t="str">
        <f aca="false">IF(A1522="","",A1522-WEEKDAY(A1522,2)+1)</f>
        <v/>
      </c>
      <c r="H1522" s="26" t="str">
        <f aca="false">IF(A1522="","",DATE(YEAR(A1522),MONTH(A1522),1))</f>
        <v/>
      </c>
    </row>
    <row r="1523" customFormat="false" ht="15" hidden="false" customHeight="false" outlineLevel="0" collapsed="false">
      <c r="A1523" s="22"/>
      <c r="B1523" s="23"/>
      <c r="C1523" s="23"/>
      <c r="D1523" s="24"/>
      <c r="E1523" s="23"/>
      <c r="F1523" s="15" t="str">
        <f aca="false">IF(B1523="","",IFERROR(INDEX(Configurações!$B$7:$B$30,MATCH(B1523,Configurações!$A$7:$A$30,0)),"?"))</f>
        <v/>
      </c>
      <c r="G1523" s="25" t="str">
        <f aca="false">IF(A1523="","",A1523-WEEKDAY(A1523,2)+1)</f>
        <v/>
      </c>
      <c r="H1523" s="26" t="str">
        <f aca="false">IF(A1523="","",DATE(YEAR(A1523),MONTH(A1523),1))</f>
        <v/>
      </c>
    </row>
    <row r="1524" customFormat="false" ht="15" hidden="false" customHeight="false" outlineLevel="0" collapsed="false">
      <c r="A1524" s="22"/>
      <c r="B1524" s="23"/>
      <c r="C1524" s="23"/>
      <c r="D1524" s="24"/>
      <c r="E1524" s="23"/>
      <c r="F1524" s="15" t="str">
        <f aca="false">IF(B1524="","",IFERROR(INDEX(Configurações!$B$7:$B$30,MATCH(B1524,Configurações!$A$7:$A$30,0)),"?"))</f>
        <v/>
      </c>
      <c r="G1524" s="25" t="str">
        <f aca="false">IF(A1524="","",A1524-WEEKDAY(A1524,2)+1)</f>
        <v/>
      </c>
      <c r="H1524" s="26" t="str">
        <f aca="false">IF(A1524="","",DATE(YEAR(A1524),MONTH(A1524),1))</f>
        <v/>
      </c>
    </row>
    <row r="1525" customFormat="false" ht="15" hidden="false" customHeight="false" outlineLevel="0" collapsed="false">
      <c r="A1525" s="22"/>
      <c r="B1525" s="23"/>
      <c r="C1525" s="23"/>
      <c r="D1525" s="24"/>
      <c r="E1525" s="23"/>
      <c r="F1525" s="15" t="str">
        <f aca="false">IF(B1525="","",IFERROR(INDEX(Configurações!$B$7:$B$30,MATCH(B1525,Configurações!$A$7:$A$30,0)),"?"))</f>
        <v/>
      </c>
      <c r="G1525" s="25" t="str">
        <f aca="false">IF(A1525="","",A1525-WEEKDAY(A1525,2)+1)</f>
        <v/>
      </c>
      <c r="H1525" s="26" t="str">
        <f aca="false">IF(A1525="","",DATE(YEAR(A1525),MONTH(A1525),1))</f>
        <v/>
      </c>
    </row>
    <row r="1526" customFormat="false" ht="15" hidden="false" customHeight="false" outlineLevel="0" collapsed="false">
      <c r="A1526" s="22"/>
      <c r="B1526" s="23"/>
      <c r="C1526" s="23"/>
      <c r="D1526" s="24"/>
      <c r="E1526" s="23"/>
      <c r="F1526" s="15" t="str">
        <f aca="false">IF(B1526="","",IFERROR(INDEX(Configurações!$B$7:$B$30,MATCH(B1526,Configurações!$A$7:$A$30,0)),"?"))</f>
        <v/>
      </c>
      <c r="G1526" s="25" t="str">
        <f aca="false">IF(A1526="","",A1526-WEEKDAY(A1526,2)+1)</f>
        <v/>
      </c>
      <c r="H1526" s="26" t="str">
        <f aca="false">IF(A1526="","",DATE(YEAR(A1526),MONTH(A1526),1))</f>
        <v/>
      </c>
    </row>
    <row r="1527" customFormat="false" ht="15" hidden="false" customHeight="false" outlineLevel="0" collapsed="false">
      <c r="A1527" s="22"/>
      <c r="B1527" s="23"/>
      <c r="C1527" s="23"/>
      <c r="D1527" s="24"/>
      <c r="E1527" s="23"/>
      <c r="F1527" s="15" t="str">
        <f aca="false">IF(B1527="","",IFERROR(INDEX(Configurações!$B$7:$B$30,MATCH(B1527,Configurações!$A$7:$A$30,0)),"?"))</f>
        <v/>
      </c>
      <c r="G1527" s="25" t="str">
        <f aca="false">IF(A1527="","",A1527-WEEKDAY(A1527,2)+1)</f>
        <v/>
      </c>
      <c r="H1527" s="26" t="str">
        <f aca="false">IF(A1527="","",DATE(YEAR(A1527),MONTH(A1527),1))</f>
        <v/>
      </c>
    </row>
    <row r="1528" customFormat="false" ht="15" hidden="false" customHeight="false" outlineLevel="0" collapsed="false">
      <c r="A1528" s="22"/>
      <c r="B1528" s="23"/>
      <c r="C1528" s="23"/>
      <c r="D1528" s="24"/>
      <c r="E1528" s="23"/>
      <c r="F1528" s="15" t="str">
        <f aca="false">IF(B1528="","",IFERROR(INDEX(Configurações!$B$7:$B$30,MATCH(B1528,Configurações!$A$7:$A$30,0)),"?"))</f>
        <v/>
      </c>
      <c r="G1528" s="25" t="str">
        <f aca="false">IF(A1528="","",A1528-WEEKDAY(A1528,2)+1)</f>
        <v/>
      </c>
      <c r="H1528" s="26" t="str">
        <f aca="false">IF(A1528="","",DATE(YEAR(A1528),MONTH(A1528),1))</f>
        <v/>
      </c>
    </row>
    <row r="1529" customFormat="false" ht="15" hidden="false" customHeight="false" outlineLevel="0" collapsed="false">
      <c r="A1529" s="22"/>
      <c r="B1529" s="23"/>
      <c r="C1529" s="23"/>
      <c r="D1529" s="24"/>
      <c r="E1529" s="23"/>
      <c r="F1529" s="15" t="str">
        <f aca="false">IF(B1529="","",IFERROR(INDEX(Configurações!$B$7:$B$30,MATCH(B1529,Configurações!$A$7:$A$30,0)),"?"))</f>
        <v/>
      </c>
      <c r="G1529" s="25" t="str">
        <f aca="false">IF(A1529="","",A1529-WEEKDAY(A1529,2)+1)</f>
        <v/>
      </c>
      <c r="H1529" s="26" t="str">
        <f aca="false">IF(A1529="","",DATE(YEAR(A1529),MONTH(A1529),1))</f>
        <v/>
      </c>
    </row>
    <row r="1530" customFormat="false" ht="15" hidden="false" customHeight="false" outlineLevel="0" collapsed="false">
      <c r="A1530" s="22"/>
      <c r="B1530" s="23"/>
      <c r="C1530" s="23"/>
      <c r="D1530" s="24"/>
      <c r="E1530" s="23"/>
      <c r="F1530" s="15" t="str">
        <f aca="false">IF(B1530="","",IFERROR(INDEX(Configurações!$B$7:$B$30,MATCH(B1530,Configurações!$A$7:$A$30,0)),"?"))</f>
        <v/>
      </c>
      <c r="G1530" s="25" t="str">
        <f aca="false">IF(A1530="","",A1530-WEEKDAY(A1530,2)+1)</f>
        <v/>
      </c>
      <c r="H1530" s="26" t="str">
        <f aca="false">IF(A1530="","",DATE(YEAR(A1530),MONTH(A1530),1))</f>
        <v/>
      </c>
    </row>
    <row r="1531" customFormat="false" ht="15" hidden="false" customHeight="false" outlineLevel="0" collapsed="false">
      <c r="A1531" s="22"/>
      <c r="B1531" s="23"/>
      <c r="C1531" s="23"/>
      <c r="D1531" s="24"/>
      <c r="E1531" s="23"/>
      <c r="F1531" s="15" t="str">
        <f aca="false">IF(B1531="","",IFERROR(INDEX(Configurações!$B$7:$B$30,MATCH(B1531,Configurações!$A$7:$A$30,0)),"?"))</f>
        <v/>
      </c>
      <c r="G1531" s="25" t="str">
        <f aca="false">IF(A1531="","",A1531-WEEKDAY(A1531,2)+1)</f>
        <v/>
      </c>
      <c r="H1531" s="26" t="str">
        <f aca="false">IF(A1531="","",DATE(YEAR(A1531),MONTH(A1531),1))</f>
        <v/>
      </c>
    </row>
    <row r="1532" customFormat="false" ht="15" hidden="false" customHeight="false" outlineLevel="0" collapsed="false">
      <c r="A1532" s="22"/>
      <c r="B1532" s="23"/>
      <c r="C1532" s="23"/>
      <c r="D1532" s="24"/>
      <c r="E1532" s="23"/>
      <c r="F1532" s="15" t="str">
        <f aca="false">IF(B1532="","",IFERROR(INDEX(Configurações!$B$7:$B$30,MATCH(B1532,Configurações!$A$7:$A$30,0)),"?"))</f>
        <v/>
      </c>
      <c r="G1532" s="25" t="str">
        <f aca="false">IF(A1532="","",A1532-WEEKDAY(A1532,2)+1)</f>
        <v/>
      </c>
      <c r="H1532" s="26" t="str">
        <f aca="false">IF(A1532="","",DATE(YEAR(A1532),MONTH(A1532),1))</f>
        <v/>
      </c>
    </row>
    <row r="1533" customFormat="false" ht="15" hidden="false" customHeight="false" outlineLevel="0" collapsed="false">
      <c r="A1533" s="22"/>
      <c r="B1533" s="23"/>
      <c r="C1533" s="23"/>
      <c r="D1533" s="24"/>
      <c r="E1533" s="23"/>
      <c r="F1533" s="15" t="str">
        <f aca="false">IF(B1533="","",IFERROR(INDEX(Configurações!$B$7:$B$30,MATCH(B1533,Configurações!$A$7:$A$30,0)),"?"))</f>
        <v/>
      </c>
      <c r="G1533" s="25" t="str">
        <f aca="false">IF(A1533="","",A1533-WEEKDAY(A1533,2)+1)</f>
        <v/>
      </c>
      <c r="H1533" s="26" t="str">
        <f aca="false">IF(A1533="","",DATE(YEAR(A1533),MONTH(A1533),1))</f>
        <v/>
      </c>
    </row>
    <row r="1534" customFormat="false" ht="15" hidden="false" customHeight="false" outlineLevel="0" collapsed="false">
      <c r="A1534" s="22"/>
      <c r="B1534" s="23"/>
      <c r="C1534" s="23"/>
      <c r="D1534" s="24"/>
      <c r="E1534" s="23"/>
      <c r="F1534" s="15" t="str">
        <f aca="false">IF(B1534="","",IFERROR(INDEX(Configurações!$B$7:$B$30,MATCH(B1534,Configurações!$A$7:$A$30,0)),"?"))</f>
        <v/>
      </c>
      <c r="G1534" s="25" t="str">
        <f aca="false">IF(A1534="","",A1534-WEEKDAY(A1534,2)+1)</f>
        <v/>
      </c>
      <c r="H1534" s="26" t="str">
        <f aca="false">IF(A1534="","",DATE(YEAR(A1534),MONTH(A1534),1))</f>
        <v/>
      </c>
    </row>
    <row r="1535" customFormat="false" ht="15" hidden="false" customHeight="false" outlineLevel="0" collapsed="false">
      <c r="A1535" s="22"/>
      <c r="B1535" s="23"/>
      <c r="C1535" s="23"/>
      <c r="D1535" s="24"/>
      <c r="E1535" s="23"/>
      <c r="F1535" s="15" t="str">
        <f aca="false">IF(B1535="","",IFERROR(INDEX(Configurações!$B$7:$B$30,MATCH(B1535,Configurações!$A$7:$A$30,0)),"?"))</f>
        <v/>
      </c>
      <c r="G1535" s="25" t="str">
        <f aca="false">IF(A1535="","",A1535-WEEKDAY(A1535,2)+1)</f>
        <v/>
      </c>
      <c r="H1535" s="26" t="str">
        <f aca="false">IF(A1535="","",DATE(YEAR(A1535),MONTH(A1535),1))</f>
        <v/>
      </c>
    </row>
    <row r="1536" customFormat="false" ht="15" hidden="false" customHeight="false" outlineLevel="0" collapsed="false">
      <c r="A1536" s="22"/>
      <c r="B1536" s="23"/>
      <c r="C1536" s="23"/>
      <c r="D1536" s="24"/>
      <c r="E1536" s="23"/>
      <c r="F1536" s="15" t="str">
        <f aca="false">IF(B1536="","",IFERROR(INDEX(Configurações!$B$7:$B$30,MATCH(B1536,Configurações!$A$7:$A$30,0)),"?"))</f>
        <v/>
      </c>
      <c r="G1536" s="25" t="str">
        <f aca="false">IF(A1536="","",A1536-WEEKDAY(A1536,2)+1)</f>
        <v/>
      </c>
      <c r="H1536" s="26" t="str">
        <f aca="false">IF(A1536="","",DATE(YEAR(A1536),MONTH(A1536),1))</f>
        <v/>
      </c>
    </row>
    <row r="1537" customFormat="false" ht="15" hidden="false" customHeight="false" outlineLevel="0" collapsed="false">
      <c r="A1537" s="22"/>
      <c r="B1537" s="23"/>
      <c r="C1537" s="23"/>
      <c r="D1537" s="24"/>
      <c r="E1537" s="23"/>
      <c r="F1537" s="15" t="str">
        <f aca="false">IF(B1537="","",IFERROR(INDEX(Configurações!$B$7:$B$30,MATCH(B1537,Configurações!$A$7:$A$30,0)),"?"))</f>
        <v/>
      </c>
      <c r="G1537" s="25" t="str">
        <f aca="false">IF(A1537="","",A1537-WEEKDAY(A1537,2)+1)</f>
        <v/>
      </c>
      <c r="H1537" s="26" t="str">
        <f aca="false">IF(A1537="","",DATE(YEAR(A1537),MONTH(A1537),1))</f>
        <v/>
      </c>
    </row>
    <row r="1538" customFormat="false" ht="15" hidden="false" customHeight="false" outlineLevel="0" collapsed="false">
      <c r="A1538" s="22"/>
      <c r="B1538" s="23"/>
      <c r="C1538" s="23"/>
      <c r="D1538" s="24"/>
      <c r="E1538" s="23"/>
      <c r="F1538" s="15" t="str">
        <f aca="false">IF(B1538="","",IFERROR(INDEX(Configurações!$B$7:$B$30,MATCH(B1538,Configurações!$A$7:$A$30,0)),"?"))</f>
        <v/>
      </c>
      <c r="G1538" s="25" t="str">
        <f aca="false">IF(A1538="","",A1538-WEEKDAY(A1538,2)+1)</f>
        <v/>
      </c>
      <c r="H1538" s="26" t="str">
        <f aca="false">IF(A1538="","",DATE(YEAR(A1538),MONTH(A1538),1))</f>
        <v/>
      </c>
    </row>
    <row r="1539" customFormat="false" ht="15" hidden="false" customHeight="false" outlineLevel="0" collapsed="false">
      <c r="A1539" s="22"/>
      <c r="B1539" s="23"/>
      <c r="C1539" s="23"/>
      <c r="D1539" s="24"/>
      <c r="E1539" s="23"/>
      <c r="F1539" s="15" t="str">
        <f aca="false">IF(B1539="","",IFERROR(INDEX(Configurações!$B$7:$B$30,MATCH(B1539,Configurações!$A$7:$A$30,0)),"?"))</f>
        <v/>
      </c>
      <c r="G1539" s="25" t="str">
        <f aca="false">IF(A1539="","",A1539-WEEKDAY(A1539,2)+1)</f>
        <v/>
      </c>
      <c r="H1539" s="26" t="str">
        <f aca="false">IF(A1539="","",DATE(YEAR(A1539),MONTH(A1539),1))</f>
        <v/>
      </c>
    </row>
    <row r="1540" customFormat="false" ht="15" hidden="false" customHeight="false" outlineLevel="0" collapsed="false">
      <c r="A1540" s="22"/>
      <c r="B1540" s="23"/>
      <c r="C1540" s="23"/>
      <c r="D1540" s="24"/>
      <c r="E1540" s="23"/>
      <c r="F1540" s="15" t="str">
        <f aca="false">IF(B1540="","",IFERROR(INDEX(Configurações!$B$7:$B$30,MATCH(B1540,Configurações!$A$7:$A$30,0)),"?"))</f>
        <v/>
      </c>
      <c r="G1540" s="25" t="str">
        <f aca="false">IF(A1540="","",A1540-WEEKDAY(A1540,2)+1)</f>
        <v/>
      </c>
      <c r="H1540" s="26" t="str">
        <f aca="false">IF(A1540="","",DATE(YEAR(A1540),MONTH(A1540),1))</f>
        <v/>
      </c>
    </row>
    <row r="1541" customFormat="false" ht="15" hidden="false" customHeight="false" outlineLevel="0" collapsed="false">
      <c r="A1541" s="22"/>
      <c r="B1541" s="23"/>
      <c r="C1541" s="23"/>
      <c r="D1541" s="24"/>
      <c r="E1541" s="23"/>
      <c r="F1541" s="15" t="str">
        <f aca="false">IF(B1541="","",IFERROR(INDEX(Configurações!$B$7:$B$30,MATCH(B1541,Configurações!$A$7:$A$30,0)),"?"))</f>
        <v/>
      </c>
      <c r="G1541" s="25" t="str">
        <f aca="false">IF(A1541="","",A1541-WEEKDAY(A1541,2)+1)</f>
        <v/>
      </c>
      <c r="H1541" s="26" t="str">
        <f aca="false">IF(A1541="","",DATE(YEAR(A1541),MONTH(A1541),1))</f>
        <v/>
      </c>
    </row>
    <row r="1542" customFormat="false" ht="15" hidden="false" customHeight="false" outlineLevel="0" collapsed="false">
      <c r="A1542" s="22"/>
      <c r="B1542" s="23"/>
      <c r="C1542" s="23"/>
      <c r="D1542" s="24"/>
      <c r="E1542" s="23"/>
      <c r="F1542" s="15" t="str">
        <f aca="false">IF(B1542="","",IFERROR(INDEX(Configurações!$B$7:$B$30,MATCH(B1542,Configurações!$A$7:$A$30,0)),"?"))</f>
        <v/>
      </c>
      <c r="G1542" s="25" t="str">
        <f aca="false">IF(A1542="","",A1542-WEEKDAY(A1542,2)+1)</f>
        <v/>
      </c>
      <c r="H1542" s="26" t="str">
        <f aca="false">IF(A1542="","",DATE(YEAR(A1542),MONTH(A1542),1))</f>
        <v/>
      </c>
    </row>
    <row r="1543" customFormat="false" ht="15" hidden="false" customHeight="false" outlineLevel="0" collapsed="false">
      <c r="A1543" s="22"/>
      <c r="B1543" s="23"/>
      <c r="C1543" s="23"/>
      <c r="D1543" s="24"/>
      <c r="E1543" s="23"/>
      <c r="F1543" s="15" t="str">
        <f aca="false">IF(B1543="","",IFERROR(INDEX(Configurações!$B$7:$B$30,MATCH(B1543,Configurações!$A$7:$A$30,0)),"?"))</f>
        <v/>
      </c>
      <c r="G1543" s="25" t="str">
        <f aca="false">IF(A1543="","",A1543-WEEKDAY(A1543,2)+1)</f>
        <v/>
      </c>
      <c r="H1543" s="26" t="str">
        <f aca="false">IF(A1543="","",DATE(YEAR(A1543),MONTH(A1543),1))</f>
        <v/>
      </c>
    </row>
    <row r="1544" customFormat="false" ht="15" hidden="false" customHeight="false" outlineLevel="0" collapsed="false">
      <c r="A1544" s="22"/>
      <c r="B1544" s="23"/>
      <c r="C1544" s="23"/>
      <c r="D1544" s="24"/>
      <c r="E1544" s="23"/>
      <c r="F1544" s="15" t="str">
        <f aca="false">IF(B1544="","",IFERROR(INDEX(Configurações!$B$7:$B$30,MATCH(B1544,Configurações!$A$7:$A$30,0)),"?"))</f>
        <v/>
      </c>
      <c r="G1544" s="25" t="str">
        <f aca="false">IF(A1544="","",A1544-WEEKDAY(A1544,2)+1)</f>
        <v/>
      </c>
      <c r="H1544" s="26" t="str">
        <f aca="false">IF(A1544="","",DATE(YEAR(A1544),MONTH(A1544),1))</f>
        <v/>
      </c>
    </row>
    <row r="1545" customFormat="false" ht="15" hidden="false" customHeight="false" outlineLevel="0" collapsed="false">
      <c r="A1545" s="22"/>
      <c r="B1545" s="23"/>
      <c r="C1545" s="23"/>
      <c r="D1545" s="24"/>
      <c r="E1545" s="23"/>
      <c r="F1545" s="15" t="str">
        <f aca="false">IF(B1545="","",IFERROR(INDEX(Configurações!$B$7:$B$30,MATCH(B1545,Configurações!$A$7:$A$30,0)),"?"))</f>
        <v/>
      </c>
      <c r="G1545" s="25" t="str">
        <f aca="false">IF(A1545="","",A1545-WEEKDAY(A1545,2)+1)</f>
        <v/>
      </c>
      <c r="H1545" s="26" t="str">
        <f aca="false">IF(A1545="","",DATE(YEAR(A1545),MONTH(A1545),1))</f>
        <v/>
      </c>
    </row>
    <row r="1546" customFormat="false" ht="15" hidden="false" customHeight="false" outlineLevel="0" collapsed="false">
      <c r="A1546" s="22"/>
      <c r="B1546" s="23"/>
      <c r="C1546" s="23"/>
      <c r="D1546" s="24"/>
      <c r="E1546" s="23"/>
      <c r="F1546" s="15" t="str">
        <f aca="false">IF(B1546="","",IFERROR(INDEX(Configurações!$B$7:$B$30,MATCH(B1546,Configurações!$A$7:$A$30,0)),"?"))</f>
        <v/>
      </c>
      <c r="G1546" s="25" t="str">
        <f aca="false">IF(A1546="","",A1546-WEEKDAY(A1546,2)+1)</f>
        <v/>
      </c>
      <c r="H1546" s="26" t="str">
        <f aca="false">IF(A1546="","",DATE(YEAR(A1546),MONTH(A1546),1))</f>
        <v/>
      </c>
    </row>
    <row r="1547" customFormat="false" ht="15" hidden="false" customHeight="false" outlineLevel="0" collapsed="false">
      <c r="A1547" s="22"/>
      <c r="B1547" s="23"/>
      <c r="C1547" s="23"/>
      <c r="D1547" s="24"/>
      <c r="E1547" s="23"/>
      <c r="F1547" s="15" t="str">
        <f aca="false">IF(B1547="","",IFERROR(INDEX(Configurações!$B$7:$B$30,MATCH(B1547,Configurações!$A$7:$A$30,0)),"?"))</f>
        <v/>
      </c>
      <c r="G1547" s="25" t="str">
        <f aca="false">IF(A1547="","",A1547-WEEKDAY(A1547,2)+1)</f>
        <v/>
      </c>
      <c r="H1547" s="26" t="str">
        <f aca="false">IF(A1547="","",DATE(YEAR(A1547),MONTH(A1547),1))</f>
        <v/>
      </c>
    </row>
    <row r="1548" customFormat="false" ht="15" hidden="false" customHeight="false" outlineLevel="0" collapsed="false">
      <c r="A1548" s="22"/>
      <c r="B1548" s="23"/>
      <c r="C1548" s="23"/>
      <c r="D1548" s="24"/>
      <c r="E1548" s="23"/>
      <c r="F1548" s="15" t="str">
        <f aca="false">IF(B1548="","",IFERROR(INDEX(Configurações!$B$7:$B$30,MATCH(B1548,Configurações!$A$7:$A$30,0)),"?"))</f>
        <v/>
      </c>
      <c r="G1548" s="25" t="str">
        <f aca="false">IF(A1548="","",A1548-WEEKDAY(A1548,2)+1)</f>
        <v/>
      </c>
      <c r="H1548" s="26" t="str">
        <f aca="false">IF(A1548="","",DATE(YEAR(A1548),MONTH(A1548),1))</f>
        <v/>
      </c>
    </row>
    <row r="1549" customFormat="false" ht="15" hidden="false" customHeight="false" outlineLevel="0" collapsed="false">
      <c r="A1549" s="22"/>
      <c r="B1549" s="23"/>
      <c r="C1549" s="23"/>
      <c r="D1549" s="24"/>
      <c r="E1549" s="23"/>
      <c r="F1549" s="15" t="str">
        <f aca="false">IF(B1549="","",IFERROR(INDEX(Configurações!$B$7:$B$30,MATCH(B1549,Configurações!$A$7:$A$30,0)),"?"))</f>
        <v/>
      </c>
      <c r="G1549" s="25" t="str">
        <f aca="false">IF(A1549="","",A1549-WEEKDAY(A1549,2)+1)</f>
        <v/>
      </c>
      <c r="H1549" s="26" t="str">
        <f aca="false">IF(A1549="","",DATE(YEAR(A1549),MONTH(A1549),1))</f>
        <v/>
      </c>
    </row>
    <row r="1550" customFormat="false" ht="15" hidden="false" customHeight="false" outlineLevel="0" collapsed="false">
      <c r="A1550" s="22"/>
      <c r="B1550" s="23"/>
      <c r="C1550" s="23"/>
      <c r="D1550" s="24"/>
      <c r="E1550" s="23"/>
      <c r="F1550" s="15" t="str">
        <f aca="false">IF(B1550="","",IFERROR(INDEX(Configurações!$B$7:$B$30,MATCH(B1550,Configurações!$A$7:$A$30,0)),"?"))</f>
        <v/>
      </c>
      <c r="G1550" s="25" t="str">
        <f aca="false">IF(A1550="","",A1550-WEEKDAY(A1550,2)+1)</f>
        <v/>
      </c>
      <c r="H1550" s="26" t="str">
        <f aca="false">IF(A1550="","",DATE(YEAR(A1550),MONTH(A1550),1))</f>
        <v/>
      </c>
    </row>
    <row r="1551" customFormat="false" ht="15" hidden="false" customHeight="false" outlineLevel="0" collapsed="false">
      <c r="A1551" s="22"/>
      <c r="B1551" s="23"/>
      <c r="C1551" s="23"/>
      <c r="D1551" s="24"/>
      <c r="E1551" s="23"/>
      <c r="F1551" s="15" t="str">
        <f aca="false">IF(B1551="","",IFERROR(INDEX(Configurações!$B$7:$B$30,MATCH(B1551,Configurações!$A$7:$A$30,0)),"?"))</f>
        <v/>
      </c>
      <c r="G1551" s="25" t="str">
        <f aca="false">IF(A1551="","",A1551-WEEKDAY(A1551,2)+1)</f>
        <v/>
      </c>
      <c r="H1551" s="26" t="str">
        <f aca="false">IF(A1551="","",DATE(YEAR(A1551),MONTH(A1551),1))</f>
        <v/>
      </c>
    </row>
    <row r="1552" customFormat="false" ht="15" hidden="false" customHeight="false" outlineLevel="0" collapsed="false">
      <c r="A1552" s="22"/>
      <c r="B1552" s="23"/>
      <c r="C1552" s="23"/>
      <c r="D1552" s="24"/>
      <c r="E1552" s="23"/>
      <c r="F1552" s="15" t="str">
        <f aca="false">IF(B1552="","",IFERROR(INDEX(Configurações!$B$7:$B$30,MATCH(B1552,Configurações!$A$7:$A$30,0)),"?"))</f>
        <v/>
      </c>
      <c r="G1552" s="25" t="str">
        <f aca="false">IF(A1552="","",A1552-WEEKDAY(A1552,2)+1)</f>
        <v/>
      </c>
      <c r="H1552" s="26" t="str">
        <f aca="false">IF(A1552="","",DATE(YEAR(A1552),MONTH(A1552),1))</f>
        <v/>
      </c>
    </row>
    <row r="1553" customFormat="false" ht="15" hidden="false" customHeight="false" outlineLevel="0" collapsed="false">
      <c r="A1553" s="22"/>
      <c r="B1553" s="23"/>
      <c r="C1553" s="23"/>
      <c r="D1553" s="24"/>
      <c r="E1553" s="23"/>
      <c r="F1553" s="15" t="str">
        <f aca="false">IF(B1553="","",IFERROR(INDEX(Configurações!$B$7:$B$30,MATCH(B1553,Configurações!$A$7:$A$30,0)),"?"))</f>
        <v/>
      </c>
      <c r="G1553" s="25" t="str">
        <f aca="false">IF(A1553="","",A1553-WEEKDAY(A1553,2)+1)</f>
        <v/>
      </c>
      <c r="H1553" s="26" t="str">
        <f aca="false">IF(A1553="","",DATE(YEAR(A1553),MONTH(A1553),1))</f>
        <v/>
      </c>
    </row>
    <row r="1554" customFormat="false" ht="15" hidden="false" customHeight="false" outlineLevel="0" collapsed="false">
      <c r="A1554" s="22"/>
      <c r="B1554" s="23"/>
      <c r="C1554" s="23"/>
      <c r="D1554" s="24"/>
      <c r="E1554" s="23"/>
      <c r="F1554" s="15" t="str">
        <f aca="false">IF(B1554="","",IFERROR(INDEX(Configurações!$B$7:$B$30,MATCH(B1554,Configurações!$A$7:$A$30,0)),"?"))</f>
        <v/>
      </c>
      <c r="G1554" s="25" t="str">
        <f aca="false">IF(A1554="","",A1554-WEEKDAY(A1554,2)+1)</f>
        <v/>
      </c>
      <c r="H1554" s="26" t="str">
        <f aca="false">IF(A1554="","",DATE(YEAR(A1554),MONTH(A1554),1))</f>
        <v/>
      </c>
    </row>
    <row r="1555" customFormat="false" ht="15" hidden="false" customHeight="false" outlineLevel="0" collapsed="false">
      <c r="A1555" s="22"/>
      <c r="B1555" s="23"/>
      <c r="C1555" s="23"/>
      <c r="D1555" s="24"/>
      <c r="E1555" s="23"/>
      <c r="F1555" s="15" t="str">
        <f aca="false">IF(B1555="","",IFERROR(INDEX(Configurações!$B$7:$B$30,MATCH(B1555,Configurações!$A$7:$A$30,0)),"?"))</f>
        <v/>
      </c>
      <c r="G1555" s="25" t="str">
        <f aca="false">IF(A1555="","",A1555-WEEKDAY(A1555,2)+1)</f>
        <v/>
      </c>
      <c r="H1555" s="26" t="str">
        <f aca="false">IF(A1555="","",DATE(YEAR(A1555),MONTH(A1555),1))</f>
        <v/>
      </c>
    </row>
    <row r="1556" customFormat="false" ht="15" hidden="false" customHeight="false" outlineLevel="0" collapsed="false">
      <c r="A1556" s="22"/>
      <c r="B1556" s="23"/>
      <c r="C1556" s="23"/>
      <c r="D1556" s="24"/>
      <c r="E1556" s="23"/>
      <c r="F1556" s="15" t="str">
        <f aca="false">IF(B1556="","",IFERROR(INDEX(Configurações!$B$7:$B$30,MATCH(B1556,Configurações!$A$7:$A$30,0)),"?"))</f>
        <v/>
      </c>
      <c r="G1556" s="25" t="str">
        <f aca="false">IF(A1556="","",A1556-WEEKDAY(A1556,2)+1)</f>
        <v/>
      </c>
      <c r="H1556" s="26" t="str">
        <f aca="false">IF(A1556="","",DATE(YEAR(A1556),MONTH(A1556),1))</f>
        <v/>
      </c>
    </row>
    <row r="1557" customFormat="false" ht="15" hidden="false" customHeight="false" outlineLevel="0" collapsed="false">
      <c r="A1557" s="22"/>
      <c r="B1557" s="23"/>
      <c r="C1557" s="23"/>
      <c r="D1557" s="24"/>
      <c r="E1557" s="23"/>
      <c r="F1557" s="15" t="str">
        <f aca="false">IF(B1557="","",IFERROR(INDEX(Configurações!$B$7:$B$30,MATCH(B1557,Configurações!$A$7:$A$30,0)),"?"))</f>
        <v/>
      </c>
      <c r="G1557" s="25" t="str">
        <f aca="false">IF(A1557="","",A1557-WEEKDAY(A1557,2)+1)</f>
        <v/>
      </c>
      <c r="H1557" s="26" t="str">
        <f aca="false">IF(A1557="","",DATE(YEAR(A1557),MONTH(A1557),1))</f>
        <v/>
      </c>
    </row>
    <row r="1558" customFormat="false" ht="15" hidden="false" customHeight="false" outlineLevel="0" collapsed="false">
      <c r="A1558" s="22"/>
      <c r="B1558" s="23"/>
      <c r="C1558" s="23"/>
      <c r="D1558" s="24"/>
      <c r="E1558" s="23"/>
      <c r="F1558" s="15" t="str">
        <f aca="false">IF(B1558="","",IFERROR(INDEX(Configurações!$B$7:$B$30,MATCH(B1558,Configurações!$A$7:$A$30,0)),"?"))</f>
        <v/>
      </c>
      <c r="G1558" s="25" t="str">
        <f aca="false">IF(A1558="","",A1558-WEEKDAY(A1558,2)+1)</f>
        <v/>
      </c>
      <c r="H1558" s="26" t="str">
        <f aca="false">IF(A1558="","",DATE(YEAR(A1558),MONTH(A1558),1))</f>
        <v/>
      </c>
    </row>
    <row r="1559" customFormat="false" ht="15" hidden="false" customHeight="false" outlineLevel="0" collapsed="false">
      <c r="A1559" s="22"/>
      <c r="B1559" s="23"/>
      <c r="C1559" s="23"/>
      <c r="D1559" s="24"/>
      <c r="E1559" s="23"/>
      <c r="F1559" s="15" t="str">
        <f aca="false">IF(B1559="","",IFERROR(INDEX(Configurações!$B$7:$B$30,MATCH(B1559,Configurações!$A$7:$A$30,0)),"?"))</f>
        <v/>
      </c>
      <c r="G1559" s="25" t="str">
        <f aca="false">IF(A1559="","",A1559-WEEKDAY(A1559,2)+1)</f>
        <v/>
      </c>
      <c r="H1559" s="26" t="str">
        <f aca="false">IF(A1559="","",DATE(YEAR(A1559),MONTH(A1559),1))</f>
        <v/>
      </c>
    </row>
    <row r="1560" customFormat="false" ht="15" hidden="false" customHeight="false" outlineLevel="0" collapsed="false">
      <c r="A1560" s="22"/>
      <c r="B1560" s="23"/>
      <c r="C1560" s="23"/>
      <c r="D1560" s="24"/>
      <c r="E1560" s="23"/>
      <c r="F1560" s="15" t="str">
        <f aca="false">IF(B1560="","",IFERROR(INDEX(Configurações!$B$7:$B$30,MATCH(B1560,Configurações!$A$7:$A$30,0)),"?"))</f>
        <v/>
      </c>
      <c r="G1560" s="25" t="str">
        <f aca="false">IF(A1560="","",A1560-WEEKDAY(A1560,2)+1)</f>
        <v/>
      </c>
      <c r="H1560" s="26" t="str">
        <f aca="false">IF(A1560="","",DATE(YEAR(A1560),MONTH(A1560),1))</f>
        <v/>
      </c>
    </row>
    <row r="1561" customFormat="false" ht="15" hidden="false" customHeight="false" outlineLevel="0" collapsed="false">
      <c r="A1561" s="22"/>
      <c r="B1561" s="23"/>
      <c r="C1561" s="23"/>
      <c r="D1561" s="24"/>
      <c r="E1561" s="23"/>
      <c r="F1561" s="15" t="str">
        <f aca="false">IF(B1561="","",IFERROR(INDEX(Configurações!$B$7:$B$30,MATCH(B1561,Configurações!$A$7:$A$30,0)),"?"))</f>
        <v/>
      </c>
      <c r="G1561" s="25" t="str">
        <f aca="false">IF(A1561="","",A1561-WEEKDAY(A1561,2)+1)</f>
        <v/>
      </c>
      <c r="H1561" s="26" t="str">
        <f aca="false">IF(A1561="","",DATE(YEAR(A1561),MONTH(A1561),1))</f>
        <v/>
      </c>
    </row>
    <row r="1562" customFormat="false" ht="15" hidden="false" customHeight="false" outlineLevel="0" collapsed="false">
      <c r="A1562" s="22"/>
      <c r="B1562" s="23"/>
      <c r="C1562" s="23"/>
      <c r="D1562" s="24"/>
      <c r="E1562" s="23"/>
      <c r="F1562" s="15" t="str">
        <f aca="false">IF(B1562="","",IFERROR(INDEX(Configurações!$B$7:$B$30,MATCH(B1562,Configurações!$A$7:$A$30,0)),"?"))</f>
        <v/>
      </c>
      <c r="G1562" s="25" t="str">
        <f aca="false">IF(A1562="","",A1562-WEEKDAY(A1562,2)+1)</f>
        <v/>
      </c>
      <c r="H1562" s="26" t="str">
        <f aca="false">IF(A1562="","",DATE(YEAR(A1562),MONTH(A1562),1))</f>
        <v/>
      </c>
    </row>
    <row r="1563" customFormat="false" ht="15" hidden="false" customHeight="false" outlineLevel="0" collapsed="false">
      <c r="A1563" s="22"/>
      <c r="B1563" s="23"/>
      <c r="C1563" s="23"/>
      <c r="D1563" s="24"/>
      <c r="E1563" s="23"/>
      <c r="F1563" s="15" t="str">
        <f aca="false">IF(B1563="","",IFERROR(INDEX(Configurações!$B$7:$B$30,MATCH(B1563,Configurações!$A$7:$A$30,0)),"?"))</f>
        <v/>
      </c>
      <c r="G1563" s="25" t="str">
        <f aca="false">IF(A1563="","",A1563-WEEKDAY(A1563,2)+1)</f>
        <v/>
      </c>
      <c r="H1563" s="26" t="str">
        <f aca="false">IF(A1563="","",DATE(YEAR(A1563),MONTH(A1563),1))</f>
        <v/>
      </c>
    </row>
    <row r="1564" customFormat="false" ht="15" hidden="false" customHeight="false" outlineLevel="0" collapsed="false">
      <c r="A1564" s="22"/>
      <c r="B1564" s="23"/>
      <c r="C1564" s="23"/>
      <c r="D1564" s="24"/>
      <c r="E1564" s="23"/>
      <c r="F1564" s="15" t="str">
        <f aca="false">IF(B1564="","",IFERROR(INDEX(Configurações!$B$7:$B$30,MATCH(B1564,Configurações!$A$7:$A$30,0)),"?"))</f>
        <v/>
      </c>
      <c r="G1564" s="25" t="str">
        <f aca="false">IF(A1564="","",A1564-WEEKDAY(A1564,2)+1)</f>
        <v/>
      </c>
      <c r="H1564" s="26" t="str">
        <f aca="false">IF(A1564="","",DATE(YEAR(A1564),MONTH(A1564),1))</f>
        <v/>
      </c>
    </row>
    <row r="1565" customFormat="false" ht="15" hidden="false" customHeight="false" outlineLevel="0" collapsed="false">
      <c r="A1565" s="22"/>
      <c r="B1565" s="23"/>
      <c r="C1565" s="23"/>
      <c r="D1565" s="24"/>
      <c r="E1565" s="23"/>
      <c r="F1565" s="15" t="str">
        <f aca="false">IF(B1565="","",IFERROR(INDEX(Configurações!$B$7:$B$30,MATCH(B1565,Configurações!$A$7:$A$30,0)),"?"))</f>
        <v/>
      </c>
      <c r="G1565" s="25" t="str">
        <f aca="false">IF(A1565="","",A1565-WEEKDAY(A1565,2)+1)</f>
        <v/>
      </c>
      <c r="H1565" s="26" t="str">
        <f aca="false">IF(A1565="","",DATE(YEAR(A1565),MONTH(A1565),1))</f>
        <v/>
      </c>
    </row>
    <row r="1566" customFormat="false" ht="15" hidden="false" customHeight="false" outlineLevel="0" collapsed="false">
      <c r="A1566" s="22"/>
      <c r="B1566" s="23"/>
      <c r="C1566" s="23"/>
      <c r="D1566" s="24"/>
      <c r="E1566" s="23"/>
      <c r="F1566" s="15" t="str">
        <f aca="false">IF(B1566="","",IFERROR(INDEX(Configurações!$B$7:$B$30,MATCH(B1566,Configurações!$A$7:$A$30,0)),"?"))</f>
        <v/>
      </c>
      <c r="G1566" s="25" t="str">
        <f aca="false">IF(A1566="","",A1566-WEEKDAY(A1566,2)+1)</f>
        <v/>
      </c>
      <c r="H1566" s="26" t="str">
        <f aca="false">IF(A1566="","",DATE(YEAR(A1566),MONTH(A1566),1))</f>
        <v/>
      </c>
    </row>
    <row r="1567" customFormat="false" ht="15" hidden="false" customHeight="false" outlineLevel="0" collapsed="false">
      <c r="A1567" s="22"/>
      <c r="B1567" s="23"/>
      <c r="C1567" s="23"/>
      <c r="D1567" s="24"/>
      <c r="E1567" s="23"/>
      <c r="F1567" s="15" t="str">
        <f aca="false">IF(B1567="","",IFERROR(INDEX(Configurações!$B$7:$B$30,MATCH(B1567,Configurações!$A$7:$A$30,0)),"?"))</f>
        <v/>
      </c>
      <c r="G1567" s="25" t="str">
        <f aca="false">IF(A1567="","",A1567-WEEKDAY(A1567,2)+1)</f>
        <v/>
      </c>
      <c r="H1567" s="26" t="str">
        <f aca="false">IF(A1567="","",DATE(YEAR(A1567),MONTH(A1567),1))</f>
        <v/>
      </c>
    </row>
    <row r="1568" customFormat="false" ht="15" hidden="false" customHeight="false" outlineLevel="0" collapsed="false">
      <c r="A1568" s="22"/>
      <c r="B1568" s="23"/>
      <c r="C1568" s="23"/>
      <c r="D1568" s="24"/>
      <c r="E1568" s="23"/>
      <c r="F1568" s="15" t="str">
        <f aca="false">IF(B1568="","",IFERROR(INDEX(Configurações!$B$7:$B$30,MATCH(B1568,Configurações!$A$7:$A$30,0)),"?"))</f>
        <v/>
      </c>
      <c r="G1568" s="25" t="str">
        <f aca="false">IF(A1568="","",A1568-WEEKDAY(A1568,2)+1)</f>
        <v/>
      </c>
      <c r="H1568" s="26" t="str">
        <f aca="false">IF(A1568="","",DATE(YEAR(A1568),MONTH(A1568),1))</f>
        <v/>
      </c>
    </row>
    <row r="1569" customFormat="false" ht="15" hidden="false" customHeight="false" outlineLevel="0" collapsed="false">
      <c r="A1569" s="22"/>
      <c r="B1569" s="23"/>
      <c r="C1569" s="23"/>
      <c r="D1569" s="24"/>
      <c r="E1569" s="23"/>
      <c r="F1569" s="15" t="str">
        <f aca="false">IF(B1569="","",IFERROR(INDEX(Configurações!$B$7:$B$30,MATCH(B1569,Configurações!$A$7:$A$30,0)),"?"))</f>
        <v/>
      </c>
      <c r="G1569" s="25" t="str">
        <f aca="false">IF(A1569="","",A1569-WEEKDAY(A1569,2)+1)</f>
        <v/>
      </c>
      <c r="H1569" s="26" t="str">
        <f aca="false">IF(A1569="","",DATE(YEAR(A1569),MONTH(A1569),1))</f>
        <v/>
      </c>
    </row>
    <row r="1570" customFormat="false" ht="15" hidden="false" customHeight="false" outlineLevel="0" collapsed="false">
      <c r="A1570" s="22"/>
      <c r="B1570" s="23"/>
      <c r="C1570" s="23"/>
      <c r="D1570" s="24"/>
      <c r="E1570" s="23"/>
      <c r="F1570" s="15" t="str">
        <f aca="false">IF(B1570="","",IFERROR(INDEX(Configurações!$B$7:$B$30,MATCH(B1570,Configurações!$A$7:$A$30,0)),"?"))</f>
        <v/>
      </c>
      <c r="G1570" s="25" t="str">
        <f aca="false">IF(A1570="","",A1570-WEEKDAY(A1570,2)+1)</f>
        <v/>
      </c>
      <c r="H1570" s="26" t="str">
        <f aca="false">IF(A1570="","",DATE(YEAR(A1570),MONTH(A1570),1))</f>
        <v/>
      </c>
    </row>
    <row r="1571" customFormat="false" ht="15" hidden="false" customHeight="false" outlineLevel="0" collapsed="false">
      <c r="A1571" s="22"/>
      <c r="B1571" s="23"/>
      <c r="C1571" s="23"/>
      <c r="D1571" s="24"/>
      <c r="E1571" s="23"/>
      <c r="F1571" s="15" t="str">
        <f aca="false">IF(B1571="","",IFERROR(INDEX(Configurações!$B$7:$B$30,MATCH(B1571,Configurações!$A$7:$A$30,0)),"?"))</f>
        <v/>
      </c>
      <c r="G1571" s="25" t="str">
        <f aca="false">IF(A1571="","",A1571-WEEKDAY(A1571,2)+1)</f>
        <v/>
      </c>
      <c r="H1571" s="26" t="str">
        <f aca="false">IF(A1571="","",DATE(YEAR(A1571),MONTH(A1571),1))</f>
        <v/>
      </c>
    </row>
    <row r="1572" customFormat="false" ht="15" hidden="false" customHeight="false" outlineLevel="0" collapsed="false">
      <c r="A1572" s="22"/>
      <c r="B1572" s="23"/>
      <c r="C1572" s="23"/>
      <c r="D1572" s="24"/>
      <c r="E1572" s="23"/>
      <c r="F1572" s="15" t="str">
        <f aca="false">IF(B1572="","",IFERROR(INDEX(Configurações!$B$7:$B$30,MATCH(B1572,Configurações!$A$7:$A$30,0)),"?"))</f>
        <v/>
      </c>
      <c r="G1572" s="25" t="str">
        <f aca="false">IF(A1572="","",A1572-WEEKDAY(A1572,2)+1)</f>
        <v/>
      </c>
      <c r="H1572" s="26" t="str">
        <f aca="false">IF(A1572="","",DATE(YEAR(A1572),MONTH(A1572),1))</f>
        <v/>
      </c>
    </row>
    <row r="1573" customFormat="false" ht="15" hidden="false" customHeight="false" outlineLevel="0" collapsed="false">
      <c r="A1573" s="22"/>
      <c r="B1573" s="23"/>
      <c r="C1573" s="23"/>
      <c r="D1573" s="24"/>
      <c r="E1573" s="23"/>
      <c r="F1573" s="15" t="str">
        <f aca="false">IF(B1573="","",IFERROR(INDEX(Configurações!$B$7:$B$30,MATCH(B1573,Configurações!$A$7:$A$30,0)),"?"))</f>
        <v/>
      </c>
      <c r="G1573" s="25" t="str">
        <f aca="false">IF(A1573="","",A1573-WEEKDAY(A1573,2)+1)</f>
        <v/>
      </c>
      <c r="H1573" s="26" t="str">
        <f aca="false">IF(A1573="","",DATE(YEAR(A1573),MONTH(A1573),1))</f>
        <v/>
      </c>
    </row>
    <row r="1574" customFormat="false" ht="15" hidden="false" customHeight="false" outlineLevel="0" collapsed="false">
      <c r="A1574" s="22"/>
      <c r="B1574" s="23"/>
      <c r="C1574" s="23"/>
      <c r="D1574" s="24"/>
      <c r="E1574" s="23"/>
      <c r="F1574" s="15" t="str">
        <f aca="false">IF(B1574="","",IFERROR(INDEX(Configurações!$B$7:$B$30,MATCH(B1574,Configurações!$A$7:$A$30,0)),"?"))</f>
        <v/>
      </c>
      <c r="G1574" s="25" t="str">
        <f aca="false">IF(A1574="","",A1574-WEEKDAY(A1574,2)+1)</f>
        <v/>
      </c>
      <c r="H1574" s="26" t="str">
        <f aca="false">IF(A1574="","",DATE(YEAR(A1574),MONTH(A1574),1))</f>
        <v/>
      </c>
    </row>
    <row r="1575" customFormat="false" ht="15" hidden="false" customHeight="false" outlineLevel="0" collapsed="false">
      <c r="A1575" s="22"/>
      <c r="B1575" s="23"/>
      <c r="C1575" s="23"/>
      <c r="D1575" s="24"/>
      <c r="E1575" s="23"/>
      <c r="F1575" s="15" t="str">
        <f aca="false">IF(B1575="","",IFERROR(INDEX(Configurações!$B$7:$B$30,MATCH(B1575,Configurações!$A$7:$A$30,0)),"?"))</f>
        <v/>
      </c>
      <c r="G1575" s="25" t="str">
        <f aca="false">IF(A1575="","",A1575-WEEKDAY(A1575,2)+1)</f>
        <v/>
      </c>
      <c r="H1575" s="26" t="str">
        <f aca="false">IF(A1575="","",DATE(YEAR(A1575),MONTH(A1575),1))</f>
        <v/>
      </c>
    </row>
    <row r="1576" customFormat="false" ht="15" hidden="false" customHeight="false" outlineLevel="0" collapsed="false">
      <c r="A1576" s="22"/>
      <c r="B1576" s="23"/>
      <c r="C1576" s="23"/>
      <c r="D1576" s="24"/>
      <c r="E1576" s="23"/>
      <c r="F1576" s="15" t="str">
        <f aca="false">IF(B1576="","",IFERROR(INDEX(Configurações!$B$7:$B$30,MATCH(B1576,Configurações!$A$7:$A$30,0)),"?"))</f>
        <v/>
      </c>
      <c r="G1576" s="25" t="str">
        <f aca="false">IF(A1576="","",A1576-WEEKDAY(A1576,2)+1)</f>
        <v/>
      </c>
      <c r="H1576" s="26" t="str">
        <f aca="false">IF(A1576="","",DATE(YEAR(A1576),MONTH(A1576),1))</f>
        <v/>
      </c>
    </row>
    <row r="1577" customFormat="false" ht="15" hidden="false" customHeight="false" outlineLevel="0" collapsed="false">
      <c r="A1577" s="22"/>
      <c r="B1577" s="23"/>
      <c r="C1577" s="23"/>
      <c r="D1577" s="24"/>
      <c r="E1577" s="23"/>
      <c r="F1577" s="15" t="str">
        <f aca="false">IF(B1577="","",IFERROR(INDEX(Configurações!$B$7:$B$30,MATCH(B1577,Configurações!$A$7:$A$30,0)),"?"))</f>
        <v/>
      </c>
      <c r="G1577" s="25" t="str">
        <f aca="false">IF(A1577="","",A1577-WEEKDAY(A1577,2)+1)</f>
        <v/>
      </c>
      <c r="H1577" s="26" t="str">
        <f aca="false">IF(A1577="","",DATE(YEAR(A1577),MONTH(A1577),1))</f>
        <v/>
      </c>
    </row>
    <row r="1578" customFormat="false" ht="15" hidden="false" customHeight="false" outlineLevel="0" collapsed="false">
      <c r="A1578" s="22"/>
      <c r="B1578" s="23"/>
      <c r="C1578" s="23"/>
      <c r="D1578" s="24"/>
      <c r="E1578" s="23"/>
      <c r="F1578" s="15" t="str">
        <f aca="false">IF(B1578="","",IFERROR(INDEX(Configurações!$B$7:$B$30,MATCH(B1578,Configurações!$A$7:$A$30,0)),"?"))</f>
        <v/>
      </c>
      <c r="G1578" s="25" t="str">
        <f aca="false">IF(A1578="","",A1578-WEEKDAY(A1578,2)+1)</f>
        <v/>
      </c>
      <c r="H1578" s="26" t="str">
        <f aca="false">IF(A1578="","",DATE(YEAR(A1578),MONTH(A1578),1))</f>
        <v/>
      </c>
    </row>
    <row r="1579" customFormat="false" ht="15" hidden="false" customHeight="false" outlineLevel="0" collapsed="false">
      <c r="A1579" s="22"/>
      <c r="B1579" s="23"/>
      <c r="C1579" s="23"/>
      <c r="D1579" s="24"/>
      <c r="E1579" s="23"/>
      <c r="F1579" s="15" t="str">
        <f aca="false">IF(B1579="","",IFERROR(INDEX(Configurações!$B$7:$B$30,MATCH(B1579,Configurações!$A$7:$A$30,0)),"?"))</f>
        <v/>
      </c>
      <c r="G1579" s="25" t="str">
        <f aca="false">IF(A1579="","",A1579-WEEKDAY(A1579,2)+1)</f>
        <v/>
      </c>
      <c r="H1579" s="26" t="str">
        <f aca="false">IF(A1579="","",DATE(YEAR(A1579),MONTH(A1579),1))</f>
        <v/>
      </c>
    </row>
    <row r="1580" customFormat="false" ht="15" hidden="false" customHeight="false" outlineLevel="0" collapsed="false">
      <c r="A1580" s="22"/>
      <c r="B1580" s="23"/>
      <c r="C1580" s="23"/>
      <c r="D1580" s="24"/>
      <c r="E1580" s="23"/>
      <c r="F1580" s="15" t="str">
        <f aca="false">IF(B1580="","",IFERROR(INDEX(Configurações!$B$7:$B$30,MATCH(B1580,Configurações!$A$7:$A$30,0)),"?"))</f>
        <v/>
      </c>
      <c r="G1580" s="25" t="str">
        <f aca="false">IF(A1580="","",A1580-WEEKDAY(A1580,2)+1)</f>
        <v/>
      </c>
      <c r="H1580" s="26" t="str">
        <f aca="false">IF(A1580="","",DATE(YEAR(A1580),MONTH(A1580),1))</f>
        <v/>
      </c>
    </row>
    <row r="1581" customFormat="false" ht="15" hidden="false" customHeight="false" outlineLevel="0" collapsed="false">
      <c r="A1581" s="22"/>
      <c r="B1581" s="23"/>
      <c r="C1581" s="23"/>
      <c r="D1581" s="24"/>
      <c r="E1581" s="23"/>
      <c r="F1581" s="15" t="str">
        <f aca="false">IF(B1581="","",IFERROR(INDEX(Configurações!$B$7:$B$30,MATCH(B1581,Configurações!$A$7:$A$30,0)),"?"))</f>
        <v/>
      </c>
      <c r="G1581" s="25" t="str">
        <f aca="false">IF(A1581="","",A1581-WEEKDAY(A1581,2)+1)</f>
        <v/>
      </c>
      <c r="H1581" s="26" t="str">
        <f aca="false">IF(A1581="","",DATE(YEAR(A1581),MONTH(A1581),1))</f>
        <v/>
      </c>
    </row>
    <row r="1582" customFormat="false" ht="15" hidden="false" customHeight="false" outlineLevel="0" collapsed="false">
      <c r="A1582" s="22"/>
      <c r="B1582" s="23"/>
      <c r="C1582" s="23"/>
      <c r="D1582" s="24"/>
      <c r="E1582" s="23"/>
      <c r="F1582" s="15" t="str">
        <f aca="false">IF(B1582="","",IFERROR(INDEX(Configurações!$B$7:$B$30,MATCH(B1582,Configurações!$A$7:$A$30,0)),"?"))</f>
        <v/>
      </c>
      <c r="G1582" s="25" t="str">
        <f aca="false">IF(A1582="","",A1582-WEEKDAY(A1582,2)+1)</f>
        <v/>
      </c>
      <c r="H1582" s="26" t="str">
        <f aca="false">IF(A1582="","",DATE(YEAR(A1582),MONTH(A1582),1))</f>
        <v/>
      </c>
    </row>
    <row r="1583" customFormat="false" ht="15" hidden="false" customHeight="false" outlineLevel="0" collapsed="false">
      <c r="A1583" s="22"/>
      <c r="B1583" s="23"/>
      <c r="C1583" s="23"/>
      <c r="D1583" s="24"/>
      <c r="E1583" s="23"/>
      <c r="F1583" s="15" t="str">
        <f aca="false">IF(B1583="","",IFERROR(INDEX(Configurações!$B$7:$B$30,MATCH(B1583,Configurações!$A$7:$A$30,0)),"?"))</f>
        <v/>
      </c>
      <c r="G1583" s="25" t="str">
        <f aca="false">IF(A1583="","",A1583-WEEKDAY(A1583,2)+1)</f>
        <v/>
      </c>
      <c r="H1583" s="26" t="str">
        <f aca="false">IF(A1583="","",DATE(YEAR(A1583),MONTH(A1583),1))</f>
        <v/>
      </c>
    </row>
    <row r="1584" customFormat="false" ht="15" hidden="false" customHeight="false" outlineLevel="0" collapsed="false">
      <c r="A1584" s="22"/>
      <c r="B1584" s="23"/>
      <c r="C1584" s="23"/>
      <c r="D1584" s="24"/>
      <c r="E1584" s="23"/>
      <c r="F1584" s="15" t="str">
        <f aca="false">IF(B1584="","",IFERROR(INDEX(Configurações!$B$7:$B$30,MATCH(B1584,Configurações!$A$7:$A$30,0)),"?"))</f>
        <v/>
      </c>
      <c r="G1584" s="25" t="str">
        <f aca="false">IF(A1584="","",A1584-WEEKDAY(A1584,2)+1)</f>
        <v/>
      </c>
      <c r="H1584" s="26" t="str">
        <f aca="false">IF(A1584="","",DATE(YEAR(A1584),MONTH(A1584),1))</f>
        <v/>
      </c>
    </row>
    <row r="1585" customFormat="false" ht="15" hidden="false" customHeight="false" outlineLevel="0" collapsed="false">
      <c r="A1585" s="22"/>
      <c r="B1585" s="23"/>
      <c r="C1585" s="23"/>
      <c r="D1585" s="24"/>
      <c r="E1585" s="23"/>
      <c r="F1585" s="15" t="str">
        <f aca="false">IF(B1585="","",IFERROR(INDEX(Configurações!$B$7:$B$30,MATCH(B1585,Configurações!$A$7:$A$30,0)),"?"))</f>
        <v/>
      </c>
      <c r="G1585" s="25" t="str">
        <f aca="false">IF(A1585="","",A1585-WEEKDAY(A1585,2)+1)</f>
        <v/>
      </c>
      <c r="H1585" s="26" t="str">
        <f aca="false">IF(A1585="","",DATE(YEAR(A1585),MONTH(A1585),1))</f>
        <v/>
      </c>
    </row>
    <row r="1586" customFormat="false" ht="15" hidden="false" customHeight="false" outlineLevel="0" collapsed="false">
      <c r="A1586" s="22"/>
      <c r="B1586" s="23"/>
      <c r="C1586" s="23"/>
      <c r="D1586" s="24"/>
      <c r="E1586" s="23"/>
      <c r="F1586" s="15" t="str">
        <f aca="false">IF(B1586="","",IFERROR(INDEX(Configurações!$B$7:$B$30,MATCH(B1586,Configurações!$A$7:$A$30,0)),"?"))</f>
        <v/>
      </c>
      <c r="G1586" s="25" t="str">
        <f aca="false">IF(A1586="","",A1586-WEEKDAY(A1586,2)+1)</f>
        <v/>
      </c>
      <c r="H1586" s="26" t="str">
        <f aca="false">IF(A1586="","",DATE(YEAR(A1586),MONTH(A1586),1))</f>
        <v/>
      </c>
    </row>
    <row r="1587" customFormat="false" ht="15" hidden="false" customHeight="false" outlineLevel="0" collapsed="false">
      <c r="A1587" s="22"/>
      <c r="B1587" s="23"/>
      <c r="C1587" s="23"/>
      <c r="D1587" s="24"/>
      <c r="E1587" s="23"/>
      <c r="F1587" s="15" t="str">
        <f aca="false">IF(B1587="","",IFERROR(INDEX(Configurações!$B$7:$B$30,MATCH(B1587,Configurações!$A$7:$A$30,0)),"?"))</f>
        <v/>
      </c>
      <c r="G1587" s="25" t="str">
        <f aca="false">IF(A1587="","",A1587-WEEKDAY(A1587,2)+1)</f>
        <v/>
      </c>
      <c r="H1587" s="26" t="str">
        <f aca="false">IF(A1587="","",DATE(YEAR(A1587),MONTH(A1587),1))</f>
        <v/>
      </c>
    </row>
    <row r="1588" customFormat="false" ht="15" hidden="false" customHeight="false" outlineLevel="0" collapsed="false">
      <c r="A1588" s="22"/>
      <c r="B1588" s="23"/>
      <c r="C1588" s="23"/>
      <c r="D1588" s="24"/>
      <c r="E1588" s="23"/>
      <c r="F1588" s="15" t="str">
        <f aca="false">IF(B1588="","",IFERROR(INDEX(Configurações!$B$7:$B$30,MATCH(B1588,Configurações!$A$7:$A$30,0)),"?"))</f>
        <v/>
      </c>
      <c r="G1588" s="25" t="str">
        <f aca="false">IF(A1588="","",A1588-WEEKDAY(A1588,2)+1)</f>
        <v/>
      </c>
      <c r="H1588" s="26" t="str">
        <f aca="false">IF(A1588="","",DATE(YEAR(A1588),MONTH(A1588),1))</f>
        <v/>
      </c>
    </row>
    <row r="1589" customFormat="false" ht="15" hidden="false" customHeight="false" outlineLevel="0" collapsed="false">
      <c r="A1589" s="22"/>
      <c r="B1589" s="23"/>
      <c r="C1589" s="23"/>
      <c r="D1589" s="24"/>
      <c r="E1589" s="23"/>
      <c r="F1589" s="15" t="str">
        <f aca="false">IF(B1589="","",IFERROR(INDEX(Configurações!$B$7:$B$30,MATCH(B1589,Configurações!$A$7:$A$30,0)),"?"))</f>
        <v/>
      </c>
      <c r="G1589" s="25" t="str">
        <f aca="false">IF(A1589="","",A1589-WEEKDAY(A1589,2)+1)</f>
        <v/>
      </c>
      <c r="H1589" s="26" t="str">
        <f aca="false">IF(A1589="","",DATE(YEAR(A1589),MONTH(A1589),1))</f>
        <v/>
      </c>
    </row>
    <row r="1590" customFormat="false" ht="15" hidden="false" customHeight="false" outlineLevel="0" collapsed="false">
      <c r="A1590" s="22"/>
      <c r="B1590" s="23"/>
      <c r="C1590" s="23"/>
      <c r="D1590" s="24"/>
      <c r="E1590" s="23"/>
      <c r="F1590" s="15" t="str">
        <f aca="false">IF(B1590="","",IFERROR(INDEX(Configurações!$B$7:$B$30,MATCH(B1590,Configurações!$A$7:$A$30,0)),"?"))</f>
        <v/>
      </c>
      <c r="G1590" s="25" t="str">
        <f aca="false">IF(A1590="","",A1590-WEEKDAY(A1590,2)+1)</f>
        <v/>
      </c>
      <c r="H1590" s="26" t="str">
        <f aca="false">IF(A1590="","",DATE(YEAR(A1590),MONTH(A1590),1))</f>
        <v/>
      </c>
    </row>
    <row r="1591" customFormat="false" ht="15" hidden="false" customHeight="false" outlineLevel="0" collapsed="false">
      <c r="A1591" s="22"/>
      <c r="B1591" s="23"/>
      <c r="C1591" s="23"/>
      <c r="D1591" s="24"/>
      <c r="E1591" s="23"/>
      <c r="F1591" s="15" t="str">
        <f aca="false">IF(B1591="","",IFERROR(INDEX(Configurações!$B$7:$B$30,MATCH(B1591,Configurações!$A$7:$A$30,0)),"?"))</f>
        <v/>
      </c>
      <c r="G1591" s="25" t="str">
        <f aca="false">IF(A1591="","",A1591-WEEKDAY(A1591,2)+1)</f>
        <v/>
      </c>
      <c r="H1591" s="26" t="str">
        <f aca="false">IF(A1591="","",DATE(YEAR(A1591),MONTH(A1591),1))</f>
        <v/>
      </c>
    </row>
    <row r="1592" customFormat="false" ht="15" hidden="false" customHeight="false" outlineLevel="0" collapsed="false">
      <c r="A1592" s="22"/>
      <c r="B1592" s="23"/>
      <c r="C1592" s="23"/>
      <c r="D1592" s="24"/>
      <c r="E1592" s="23"/>
      <c r="F1592" s="15" t="str">
        <f aca="false">IF(B1592="","",IFERROR(INDEX(Configurações!$B$7:$B$30,MATCH(B1592,Configurações!$A$7:$A$30,0)),"?"))</f>
        <v/>
      </c>
      <c r="G1592" s="25" t="str">
        <f aca="false">IF(A1592="","",A1592-WEEKDAY(A1592,2)+1)</f>
        <v/>
      </c>
      <c r="H1592" s="26" t="str">
        <f aca="false">IF(A1592="","",DATE(YEAR(A1592),MONTH(A1592),1))</f>
        <v/>
      </c>
    </row>
    <row r="1593" customFormat="false" ht="15" hidden="false" customHeight="false" outlineLevel="0" collapsed="false">
      <c r="A1593" s="22"/>
      <c r="B1593" s="23"/>
      <c r="C1593" s="23"/>
      <c r="D1593" s="24"/>
      <c r="E1593" s="23"/>
      <c r="F1593" s="15" t="str">
        <f aca="false">IF(B1593="","",IFERROR(INDEX(Configurações!$B$7:$B$30,MATCH(B1593,Configurações!$A$7:$A$30,0)),"?"))</f>
        <v/>
      </c>
      <c r="G1593" s="25" t="str">
        <f aca="false">IF(A1593="","",A1593-WEEKDAY(A1593,2)+1)</f>
        <v/>
      </c>
      <c r="H1593" s="26" t="str">
        <f aca="false">IF(A1593="","",DATE(YEAR(A1593),MONTH(A1593),1))</f>
        <v/>
      </c>
    </row>
    <row r="1594" customFormat="false" ht="15" hidden="false" customHeight="false" outlineLevel="0" collapsed="false">
      <c r="A1594" s="22"/>
      <c r="B1594" s="23"/>
      <c r="C1594" s="23"/>
      <c r="D1594" s="24"/>
      <c r="E1594" s="23"/>
      <c r="F1594" s="15" t="str">
        <f aca="false">IF(B1594="","",IFERROR(INDEX(Configurações!$B$7:$B$30,MATCH(B1594,Configurações!$A$7:$A$30,0)),"?"))</f>
        <v/>
      </c>
      <c r="G1594" s="25" t="str">
        <f aca="false">IF(A1594="","",A1594-WEEKDAY(A1594,2)+1)</f>
        <v/>
      </c>
      <c r="H1594" s="26" t="str">
        <f aca="false">IF(A1594="","",DATE(YEAR(A1594),MONTH(A1594),1))</f>
        <v/>
      </c>
    </row>
    <row r="1595" customFormat="false" ht="15" hidden="false" customHeight="false" outlineLevel="0" collapsed="false">
      <c r="A1595" s="22"/>
      <c r="B1595" s="23"/>
      <c r="C1595" s="23"/>
      <c r="D1595" s="24"/>
      <c r="E1595" s="23"/>
      <c r="F1595" s="15" t="str">
        <f aca="false">IF(B1595="","",IFERROR(INDEX(Configurações!$B$7:$B$30,MATCH(B1595,Configurações!$A$7:$A$30,0)),"?"))</f>
        <v/>
      </c>
      <c r="G1595" s="25" t="str">
        <f aca="false">IF(A1595="","",A1595-WEEKDAY(A1595,2)+1)</f>
        <v/>
      </c>
      <c r="H1595" s="26" t="str">
        <f aca="false">IF(A1595="","",DATE(YEAR(A1595),MONTH(A1595),1))</f>
        <v/>
      </c>
    </row>
    <row r="1596" customFormat="false" ht="15" hidden="false" customHeight="false" outlineLevel="0" collapsed="false">
      <c r="A1596" s="22"/>
      <c r="B1596" s="23"/>
      <c r="C1596" s="23"/>
      <c r="D1596" s="24"/>
      <c r="E1596" s="23"/>
      <c r="F1596" s="15" t="str">
        <f aca="false">IF(B1596="","",IFERROR(INDEX(Configurações!$B$7:$B$30,MATCH(B1596,Configurações!$A$7:$A$30,0)),"?"))</f>
        <v/>
      </c>
      <c r="G1596" s="25" t="str">
        <f aca="false">IF(A1596="","",A1596-WEEKDAY(A1596,2)+1)</f>
        <v/>
      </c>
      <c r="H1596" s="26" t="str">
        <f aca="false">IF(A1596="","",DATE(YEAR(A1596),MONTH(A1596),1))</f>
        <v/>
      </c>
    </row>
    <row r="1597" customFormat="false" ht="15" hidden="false" customHeight="false" outlineLevel="0" collapsed="false">
      <c r="A1597" s="22"/>
      <c r="B1597" s="23"/>
      <c r="C1597" s="23"/>
      <c r="D1597" s="24"/>
      <c r="E1597" s="23"/>
      <c r="F1597" s="15" t="str">
        <f aca="false">IF(B1597="","",IFERROR(INDEX(Configurações!$B$7:$B$30,MATCH(B1597,Configurações!$A$7:$A$30,0)),"?"))</f>
        <v/>
      </c>
      <c r="G1597" s="25" t="str">
        <f aca="false">IF(A1597="","",A1597-WEEKDAY(A1597,2)+1)</f>
        <v/>
      </c>
      <c r="H1597" s="26" t="str">
        <f aca="false">IF(A1597="","",DATE(YEAR(A1597),MONTH(A1597),1))</f>
        <v/>
      </c>
    </row>
    <row r="1598" customFormat="false" ht="15" hidden="false" customHeight="false" outlineLevel="0" collapsed="false">
      <c r="A1598" s="22"/>
      <c r="B1598" s="23"/>
      <c r="C1598" s="23"/>
      <c r="D1598" s="24"/>
      <c r="E1598" s="23"/>
      <c r="F1598" s="15" t="str">
        <f aca="false">IF(B1598="","",IFERROR(INDEX(Configurações!$B$7:$B$30,MATCH(B1598,Configurações!$A$7:$A$30,0)),"?"))</f>
        <v/>
      </c>
      <c r="G1598" s="25" t="str">
        <f aca="false">IF(A1598="","",A1598-WEEKDAY(A1598,2)+1)</f>
        <v/>
      </c>
      <c r="H1598" s="26" t="str">
        <f aca="false">IF(A1598="","",DATE(YEAR(A1598),MONTH(A1598),1))</f>
        <v/>
      </c>
    </row>
    <row r="1599" customFormat="false" ht="15" hidden="false" customHeight="false" outlineLevel="0" collapsed="false">
      <c r="A1599" s="22"/>
      <c r="B1599" s="23"/>
      <c r="C1599" s="23"/>
      <c r="D1599" s="24"/>
      <c r="E1599" s="23"/>
      <c r="F1599" s="15" t="str">
        <f aca="false">IF(B1599="","",IFERROR(INDEX(Configurações!$B$7:$B$30,MATCH(B1599,Configurações!$A$7:$A$30,0)),"?"))</f>
        <v/>
      </c>
      <c r="G1599" s="25" t="str">
        <f aca="false">IF(A1599="","",A1599-WEEKDAY(A1599,2)+1)</f>
        <v/>
      </c>
      <c r="H1599" s="26" t="str">
        <f aca="false">IF(A1599="","",DATE(YEAR(A1599),MONTH(A1599),1))</f>
        <v/>
      </c>
    </row>
    <row r="1600" customFormat="false" ht="15" hidden="false" customHeight="false" outlineLevel="0" collapsed="false">
      <c r="A1600" s="22"/>
      <c r="B1600" s="23"/>
      <c r="C1600" s="23"/>
      <c r="D1600" s="24"/>
      <c r="E1600" s="23"/>
      <c r="F1600" s="15" t="str">
        <f aca="false">IF(B1600="","",IFERROR(INDEX(Configurações!$B$7:$B$30,MATCH(B1600,Configurações!$A$7:$A$30,0)),"?"))</f>
        <v/>
      </c>
      <c r="G1600" s="25" t="str">
        <f aca="false">IF(A1600="","",A1600-WEEKDAY(A1600,2)+1)</f>
        <v/>
      </c>
      <c r="H1600" s="26" t="str">
        <f aca="false">IF(A1600="","",DATE(YEAR(A1600),MONTH(A1600),1))</f>
        <v/>
      </c>
    </row>
    <row r="1601" customFormat="false" ht="15" hidden="false" customHeight="false" outlineLevel="0" collapsed="false">
      <c r="A1601" s="22"/>
      <c r="B1601" s="23"/>
      <c r="C1601" s="23"/>
      <c r="D1601" s="24"/>
      <c r="E1601" s="23"/>
      <c r="F1601" s="15" t="str">
        <f aca="false">IF(B1601="","",IFERROR(INDEX(Configurações!$B$7:$B$30,MATCH(B1601,Configurações!$A$7:$A$30,0)),"?"))</f>
        <v/>
      </c>
      <c r="G1601" s="25" t="str">
        <f aca="false">IF(A1601="","",A1601-WEEKDAY(A1601,2)+1)</f>
        <v/>
      </c>
      <c r="H1601" s="26" t="str">
        <f aca="false">IF(A1601="","",DATE(YEAR(A1601),MONTH(A1601),1))</f>
        <v/>
      </c>
    </row>
    <row r="1602" customFormat="false" ht="15" hidden="false" customHeight="false" outlineLevel="0" collapsed="false">
      <c r="A1602" s="22"/>
      <c r="B1602" s="23"/>
      <c r="C1602" s="23"/>
      <c r="D1602" s="24"/>
      <c r="E1602" s="23"/>
      <c r="F1602" s="15" t="str">
        <f aca="false">IF(B1602="","",IFERROR(INDEX(Configurações!$B$7:$B$30,MATCH(B1602,Configurações!$A$7:$A$30,0)),"?"))</f>
        <v/>
      </c>
      <c r="G1602" s="25" t="str">
        <f aca="false">IF(A1602="","",A1602-WEEKDAY(A1602,2)+1)</f>
        <v/>
      </c>
      <c r="H1602" s="26" t="str">
        <f aca="false">IF(A1602="","",DATE(YEAR(A1602),MONTH(A1602),1))</f>
        <v/>
      </c>
    </row>
    <row r="1603" customFormat="false" ht="15" hidden="false" customHeight="false" outlineLevel="0" collapsed="false">
      <c r="A1603" s="22"/>
      <c r="B1603" s="23"/>
      <c r="C1603" s="23"/>
      <c r="D1603" s="24"/>
      <c r="E1603" s="23"/>
      <c r="F1603" s="15" t="str">
        <f aca="false">IF(B1603="","",IFERROR(INDEX(Configurações!$B$7:$B$30,MATCH(B1603,Configurações!$A$7:$A$30,0)),"?"))</f>
        <v/>
      </c>
      <c r="G1603" s="25" t="str">
        <f aca="false">IF(A1603="","",A1603-WEEKDAY(A1603,2)+1)</f>
        <v/>
      </c>
      <c r="H1603" s="26" t="str">
        <f aca="false">IF(A1603="","",DATE(YEAR(A1603),MONTH(A1603),1))</f>
        <v/>
      </c>
    </row>
    <row r="1604" customFormat="false" ht="15" hidden="false" customHeight="false" outlineLevel="0" collapsed="false">
      <c r="A1604" s="22"/>
      <c r="B1604" s="23"/>
      <c r="C1604" s="23"/>
      <c r="D1604" s="24"/>
      <c r="E1604" s="23"/>
      <c r="F1604" s="15" t="str">
        <f aca="false">IF(B1604="","",IFERROR(INDEX(Configurações!$B$7:$B$30,MATCH(B1604,Configurações!$A$7:$A$30,0)),"?"))</f>
        <v/>
      </c>
      <c r="G1604" s="25" t="str">
        <f aca="false">IF(A1604="","",A1604-WEEKDAY(A1604,2)+1)</f>
        <v/>
      </c>
      <c r="H1604" s="26" t="str">
        <f aca="false">IF(A1604="","",DATE(YEAR(A1604),MONTH(A1604),1))</f>
        <v/>
      </c>
    </row>
    <row r="1605" customFormat="false" ht="15" hidden="false" customHeight="false" outlineLevel="0" collapsed="false">
      <c r="A1605" s="22"/>
      <c r="B1605" s="23"/>
      <c r="C1605" s="23"/>
      <c r="D1605" s="24"/>
      <c r="E1605" s="23"/>
      <c r="F1605" s="15" t="str">
        <f aca="false">IF(B1605="","",IFERROR(INDEX(Configurações!$B$7:$B$30,MATCH(B1605,Configurações!$A$7:$A$30,0)),"?"))</f>
        <v/>
      </c>
      <c r="G1605" s="25" t="str">
        <f aca="false">IF(A1605="","",A1605-WEEKDAY(A1605,2)+1)</f>
        <v/>
      </c>
      <c r="H1605" s="26" t="str">
        <f aca="false">IF(A1605="","",DATE(YEAR(A1605),MONTH(A1605),1))</f>
        <v/>
      </c>
    </row>
    <row r="1606" customFormat="false" ht="15" hidden="false" customHeight="false" outlineLevel="0" collapsed="false">
      <c r="A1606" s="22"/>
      <c r="B1606" s="23"/>
      <c r="C1606" s="23"/>
      <c r="D1606" s="24"/>
      <c r="E1606" s="23"/>
      <c r="F1606" s="15" t="str">
        <f aca="false">IF(B1606="","",IFERROR(INDEX(Configurações!$B$7:$B$30,MATCH(B1606,Configurações!$A$7:$A$30,0)),"?"))</f>
        <v/>
      </c>
      <c r="G1606" s="25" t="str">
        <f aca="false">IF(A1606="","",A1606-WEEKDAY(A1606,2)+1)</f>
        <v/>
      </c>
      <c r="H1606" s="26" t="str">
        <f aca="false">IF(A1606="","",DATE(YEAR(A1606),MONTH(A1606),1))</f>
        <v/>
      </c>
    </row>
    <row r="1607" customFormat="false" ht="15" hidden="false" customHeight="false" outlineLevel="0" collapsed="false">
      <c r="A1607" s="22"/>
      <c r="B1607" s="23"/>
      <c r="C1607" s="23"/>
      <c r="D1607" s="24"/>
      <c r="E1607" s="23"/>
      <c r="F1607" s="15" t="str">
        <f aca="false">IF(B1607="","",IFERROR(INDEX(Configurações!$B$7:$B$30,MATCH(B1607,Configurações!$A$7:$A$30,0)),"?"))</f>
        <v/>
      </c>
      <c r="G1607" s="25" t="str">
        <f aca="false">IF(A1607="","",A1607-WEEKDAY(A1607,2)+1)</f>
        <v/>
      </c>
      <c r="H1607" s="26" t="str">
        <f aca="false">IF(A1607="","",DATE(YEAR(A1607),MONTH(A1607),1))</f>
        <v/>
      </c>
    </row>
    <row r="1608" customFormat="false" ht="15" hidden="false" customHeight="false" outlineLevel="0" collapsed="false">
      <c r="A1608" s="22"/>
      <c r="B1608" s="23"/>
      <c r="C1608" s="23"/>
      <c r="D1608" s="24"/>
      <c r="E1608" s="23"/>
      <c r="F1608" s="15" t="str">
        <f aca="false">IF(B1608="","",IFERROR(INDEX(Configurações!$B$7:$B$30,MATCH(B1608,Configurações!$A$7:$A$30,0)),"?"))</f>
        <v/>
      </c>
      <c r="G1608" s="25" t="str">
        <f aca="false">IF(A1608="","",A1608-WEEKDAY(A1608,2)+1)</f>
        <v/>
      </c>
      <c r="H1608" s="26" t="str">
        <f aca="false">IF(A1608="","",DATE(YEAR(A1608),MONTH(A1608),1))</f>
        <v/>
      </c>
    </row>
    <row r="1609" customFormat="false" ht="15" hidden="false" customHeight="false" outlineLevel="0" collapsed="false">
      <c r="A1609" s="22"/>
      <c r="B1609" s="23"/>
      <c r="C1609" s="23"/>
      <c r="D1609" s="24"/>
      <c r="E1609" s="23"/>
      <c r="F1609" s="15" t="str">
        <f aca="false">IF(B1609="","",IFERROR(INDEX(Configurações!$B$7:$B$30,MATCH(B1609,Configurações!$A$7:$A$30,0)),"?"))</f>
        <v/>
      </c>
      <c r="G1609" s="25" t="str">
        <f aca="false">IF(A1609="","",A1609-WEEKDAY(A1609,2)+1)</f>
        <v/>
      </c>
      <c r="H1609" s="26" t="str">
        <f aca="false">IF(A1609="","",DATE(YEAR(A1609),MONTH(A1609),1))</f>
        <v/>
      </c>
    </row>
    <row r="1610" customFormat="false" ht="15" hidden="false" customHeight="false" outlineLevel="0" collapsed="false">
      <c r="A1610" s="22"/>
      <c r="B1610" s="23"/>
      <c r="C1610" s="23"/>
      <c r="D1610" s="24"/>
      <c r="E1610" s="23"/>
      <c r="F1610" s="15" t="str">
        <f aca="false">IF(B1610="","",IFERROR(INDEX(Configurações!$B$7:$B$30,MATCH(B1610,Configurações!$A$7:$A$30,0)),"?"))</f>
        <v/>
      </c>
      <c r="G1610" s="25" t="str">
        <f aca="false">IF(A1610="","",A1610-WEEKDAY(A1610,2)+1)</f>
        <v/>
      </c>
      <c r="H1610" s="26" t="str">
        <f aca="false">IF(A1610="","",DATE(YEAR(A1610),MONTH(A1610),1))</f>
        <v/>
      </c>
    </row>
    <row r="1611" customFormat="false" ht="15" hidden="false" customHeight="false" outlineLevel="0" collapsed="false">
      <c r="A1611" s="22"/>
      <c r="B1611" s="23"/>
      <c r="C1611" s="23"/>
      <c r="D1611" s="24"/>
      <c r="E1611" s="23"/>
      <c r="F1611" s="15" t="str">
        <f aca="false">IF(B1611="","",IFERROR(INDEX(Configurações!$B$7:$B$30,MATCH(B1611,Configurações!$A$7:$A$30,0)),"?"))</f>
        <v/>
      </c>
      <c r="G1611" s="25" t="str">
        <f aca="false">IF(A1611="","",A1611-WEEKDAY(A1611,2)+1)</f>
        <v/>
      </c>
      <c r="H1611" s="26" t="str">
        <f aca="false">IF(A1611="","",DATE(YEAR(A1611),MONTH(A1611),1))</f>
        <v/>
      </c>
    </row>
    <row r="1612" customFormat="false" ht="15" hidden="false" customHeight="false" outlineLevel="0" collapsed="false">
      <c r="A1612" s="22"/>
      <c r="B1612" s="23"/>
      <c r="C1612" s="23"/>
      <c r="D1612" s="24"/>
      <c r="E1612" s="23"/>
      <c r="F1612" s="15" t="str">
        <f aca="false">IF(B1612="","",IFERROR(INDEX(Configurações!$B$7:$B$30,MATCH(B1612,Configurações!$A$7:$A$30,0)),"?"))</f>
        <v/>
      </c>
      <c r="G1612" s="25" t="str">
        <f aca="false">IF(A1612="","",A1612-WEEKDAY(A1612,2)+1)</f>
        <v/>
      </c>
      <c r="H1612" s="26" t="str">
        <f aca="false">IF(A1612="","",DATE(YEAR(A1612),MONTH(A1612),1))</f>
        <v/>
      </c>
    </row>
    <row r="1613" customFormat="false" ht="15" hidden="false" customHeight="false" outlineLevel="0" collapsed="false">
      <c r="A1613" s="22"/>
      <c r="B1613" s="23"/>
      <c r="C1613" s="23"/>
      <c r="D1613" s="24"/>
      <c r="E1613" s="23"/>
      <c r="F1613" s="15" t="str">
        <f aca="false">IF(B1613="","",IFERROR(INDEX(Configurações!$B$7:$B$30,MATCH(B1613,Configurações!$A$7:$A$30,0)),"?"))</f>
        <v/>
      </c>
      <c r="G1613" s="25" t="str">
        <f aca="false">IF(A1613="","",A1613-WEEKDAY(A1613,2)+1)</f>
        <v/>
      </c>
      <c r="H1613" s="26" t="str">
        <f aca="false">IF(A1613="","",DATE(YEAR(A1613),MONTH(A1613),1))</f>
        <v/>
      </c>
    </row>
    <row r="1614" customFormat="false" ht="15" hidden="false" customHeight="false" outlineLevel="0" collapsed="false">
      <c r="A1614" s="22"/>
      <c r="B1614" s="23"/>
      <c r="C1614" s="23"/>
      <c r="D1614" s="24"/>
      <c r="E1614" s="23"/>
      <c r="F1614" s="15" t="str">
        <f aca="false">IF(B1614="","",IFERROR(INDEX(Configurações!$B$7:$B$30,MATCH(B1614,Configurações!$A$7:$A$30,0)),"?"))</f>
        <v/>
      </c>
      <c r="G1614" s="25" t="str">
        <f aca="false">IF(A1614="","",A1614-WEEKDAY(A1614,2)+1)</f>
        <v/>
      </c>
      <c r="H1614" s="26" t="str">
        <f aca="false">IF(A1614="","",DATE(YEAR(A1614),MONTH(A1614),1))</f>
        <v/>
      </c>
    </row>
    <row r="1615" customFormat="false" ht="15" hidden="false" customHeight="false" outlineLevel="0" collapsed="false">
      <c r="A1615" s="22"/>
      <c r="B1615" s="23"/>
      <c r="C1615" s="23"/>
      <c r="D1615" s="24"/>
      <c r="E1615" s="23"/>
      <c r="F1615" s="15" t="str">
        <f aca="false">IF(B1615="","",IFERROR(INDEX(Configurações!$B$7:$B$30,MATCH(B1615,Configurações!$A$7:$A$30,0)),"?"))</f>
        <v/>
      </c>
      <c r="G1615" s="25" t="str">
        <f aca="false">IF(A1615="","",A1615-WEEKDAY(A1615,2)+1)</f>
        <v/>
      </c>
      <c r="H1615" s="26" t="str">
        <f aca="false">IF(A1615="","",DATE(YEAR(A1615),MONTH(A1615),1))</f>
        <v/>
      </c>
    </row>
    <row r="1616" customFormat="false" ht="15" hidden="false" customHeight="false" outlineLevel="0" collapsed="false">
      <c r="A1616" s="22"/>
      <c r="B1616" s="23"/>
      <c r="C1616" s="23"/>
      <c r="D1616" s="24"/>
      <c r="E1616" s="23"/>
      <c r="F1616" s="15" t="str">
        <f aca="false">IF(B1616="","",IFERROR(INDEX(Configurações!$B$7:$B$30,MATCH(B1616,Configurações!$A$7:$A$30,0)),"?"))</f>
        <v/>
      </c>
      <c r="G1616" s="25" t="str">
        <f aca="false">IF(A1616="","",A1616-WEEKDAY(A1616,2)+1)</f>
        <v/>
      </c>
      <c r="H1616" s="26" t="str">
        <f aca="false">IF(A1616="","",DATE(YEAR(A1616),MONTH(A1616),1))</f>
        <v/>
      </c>
    </row>
    <row r="1617" customFormat="false" ht="15" hidden="false" customHeight="false" outlineLevel="0" collapsed="false">
      <c r="A1617" s="22"/>
      <c r="B1617" s="23"/>
      <c r="C1617" s="23"/>
      <c r="D1617" s="24"/>
      <c r="E1617" s="23"/>
      <c r="F1617" s="15" t="str">
        <f aca="false">IF(B1617="","",IFERROR(INDEX(Configurações!$B$7:$B$30,MATCH(B1617,Configurações!$A$7:$A$30,0)),"?"))</f>
        <v/>
      </c>
      <c r="G1617" s="25" t="str">
        <f aca="false">IF(A1617="","",A1617-WEEKDAY(A1617,2)+1)</f>
        <v/>
      </c>
      <c r="H1617" s="26" t="str">
        <f aca="false">IF(A1617="","",DATE(YEAR(A1617),MONTH(A1617),1))</f>
        <v/>
      </c>
    </row>
    <row r="1618" customFormat="false" ht="15" hidden="false" customHeight="false" outlineLevel="0" collapsed="false">
      <c r="A1618" s="22"/>
      <c r="B1618" s="23"/>
      <c r="C1618" s="23"/>
      <c r="D1618" s="24"/>
      <c r="E1618" s="23"/>
      <c r="F1618" s="15" t="str">
        <f aca="false">IF(B1618="","",IFERROR(INDEX(Configurações!$B$7:$B$30,MATCH(B1618,Configurações!$A$7:$A$30,0)),"?"))</f>
        <v/>
      </c>
      <c r="G1618" s="25" t="str">
        <f aca="false">IF(A1618="","",A1618-WEEKDAY(A1618,2)+1)</f>
        <v/>
      </c>
      <c r="H1618" s="26" t="str">
        <f aca="false">IF(A1618="","",DATE(YEAR(A1618),MONTH(A1618),1))</f>
        <v/>
      </c>
    </row>
    <row r="1619" customFormat="false" ht="15" hidden="false" customHeight="false" outlineLevel="0" collapsed="false">
      <c r="A1619" s="22"/>
      <c r="B1619" s="23"/>
      <c r="C1619" s="23"/>
      <c r="D1619" s="24"/>
      <c r="E1619" s="23"/>
      <c r="F1619" s="15" t="str">
        <f aca="false">IF(B1619="","",IFERROR(INDEX(Configurações!$B$7:$B$30,MATCH(B1619,Configurações!$A$7:$A$30,0)),"?"))</f>
        <v/>
      </c>
      <c r="G1619" s="25" t="str">
        <f aca="false">IF(A1619="","",A1619-WEEKDAY(A1619,2)+1)</f>
        <v/>
      </c>
      <c r="H1619" s="26" t="str">
        <f aca="false">IF(A1619="","",DATE(YEAR(A1619),MONTH(A1619),1))</f>
        <v/>
      </c>
    </row>
    <row r="1620" customFormat="false" ht="15" hidden="false" customHeight="false" outlineLevel="0" collapsed="false">
      <c r="A1620" s="22"/>
      <c r="B1620" s="23"/>
      <c r="C1620" s="23"/>
      <c r="D1620" s="24"/>
      <c r="E1620" s="23"/>
      <c r="F1620" s="15" t="str">
        <f aca="false">IF(B1620="","",IFERROR(INDEX(Configurações!$B$7:$B$30,MATCH(B1620,Configurações!$A$7:$A$30,0)),"?"))</f>
        <v/>
      </c>
      <c r="G1620" s="25" t="str">
        <f aca="false">IF(A1620="","",A1620-WEEKDAY(A1620,2)+1)</f>
        <v/>
      </c>
      <c r="H1620" s="26" t="str">
        <f aca="false">IF(A1620="","",DATE(YEAR(A1620),MONTH(A1620),1))</f>
        <v/>
      </c>
    </row>
    <row r="1621" customFormat="false" ht="15" hidden="false" customHeight="false" outlineLevel="0" collapsed="false">
      <c r="A1621" s="22"/>
      <c r="B1621" s="23"/>
      <c r="C1621" s="23"/>
      <c r="D1621" s="24"/>
      <c r="E1621" s="23"/>
      <c r="F1621" s="15" t="str">
        <f aca="false">IF(B1621="","",IFERROR(INDEX(Configurações!$B$7:$B$30,MATCH(B1621,Configurações!$A$7:$A$30,0)),"?"))</f>
        <v/>
      </c>
      <c r="G1621" s="25" t="str">
        <f aca="false">IF(A1621="","",A1621-WEEKDAY(A1621,2)+1)</f>
        <v/>
      </c>
      <c r="H1621" s="26" t="str">
        <f aca="false">IF(A1621="","",DATE(YEAR(A1621),MONTH(A1621),1))</f>
        <v/>
      </c>
    </row>
    <row r="1622" customFormat="false" ht="15" hidden="false" customHeight="false" outlineLevel="0" collapsed="false">
      <c r="A1622" s="22"/>
      <c r="B1622" s="23"/>
      <c r="C1622" s="23"/>
      <c r="D1622" s="24"/>
      <c r="E1622" s="23"/>
      <c r="F1622" s="15" t="str">
        <f aca="false">IF(B1622="","",IFERROR(INDEX(Configurações!$B$7:$B$30,MATCH(B1622,Configurações!$A$7:$A$30,0)),"?"))</f>
        <v/>
      </c>
      <c r="G1622" s="25" t="str">
        <f aca="false">IF(A1622="","",A1622-WEEKDAY(A1622,2)+1)</f>
        <v/>
      </c>
      <c r="H1622" s="26" t="str">
        <f aca="false">IF(A1622="","",DATE(YEAR(A1622),MONTH(A1622),1))</f>
        <v/>
      </c>
    </row>
    <row r="1623" customFormat="false" ht="15" hidden="false" customHeight="false" outlineLevel="0" collapsed="false">
      <c r="A1623" s="22"/>
      <c r="B1623" s="23"/>
      <c r="C1623" s="23"/>
      <c r="D1623" s="24"/>
      <c r="E1623" s="23"/>
      <c r="F1623" s="15" t="str">
        <f aca="false">IF(B1623="","",IFERROR(INDEX(Configurações!$B$7:$B$30,MATCH(B1623,Configurações!$A$7:$A$30,0)),"?"))</f>
        <v/>
      </c>
      <c r="G1623" s="25" t="str">
        <f aca="false">IF(A1623="","",A1623-WEEKDAY(A1623,2)+1)</f>
        <v/>
      </c>
      <c r="H1623" s="26" t="str">
        <f aca="false">IF(A1623="","",DATE(YEAR(A1623),MONTH(A1623),1))</f>
        <v/>
      </c>
    </row>
    <row r="1624" customFormat="false" ht="15" hidden="false" customHeight="false" outlineLevel="0" collapsed="false">
      <c r="A1624" s="22"/>
      <c r="B1624" s="23"/>
      <c r="C1624" s="23"/>
      <c r="D1624" s="24"/>
      <c r="E1624" s="23"/>
      <c r="F1624" s="15" t="str">
        <f aca="false">IF(B1624="","",IFERROR(INDEX(Configurações!$B$7:$B$30,MATCH(B1624,Configurações!$A$7:$A$30,0)),"?"))</f>
        <v/>
      </c>
      <c r="G1624" s="25" t="str">
        <f aca="false">IF(A1624="","",A1624-WEEKDAY(A1624,2)+1)</f>
        <v/>
      </c>
      <c r="H1624" s="26" t="str">
        <f aca="false">IF(A1624="","",DATE(YEAR(A1624),MONTH(A1624),1))</f>
        <v/>
      </c>
    </row>
    <row r="1625" customFormat="false" ht="15" hidden="false" customHeight="false" outlineLevel="0" collapsed="false">
      <c r="A1625" s="22"/>
      <c r="B1625" s="23"/>
      <c r="C1625" s="23"/>
      <c r="D1625" s="24"/>
      <c r="E1625" s="23"/>
      <c r="F1625" s="15" t="str">
        <f aca="false">IF(B1625="","",IFERROR(INDEX(Configurações!$B$7:$B$30,MATCH(B1625,Configurações!$A$7:$A$30,0)),"?"))</f>
        <v/>
      </c>
      <c r="G1625" s="25" t="str">
        <f aca="false">IF(A1625="","",A1625-WEEKDAY(A1625,2)+1)</f>
        <v/>
      </c>
      <c r="H1625" s="26" t="str">
        <f aca="false">IF(A1625="","",DATE(YEAR(A1625),MONTH(A1625),1))</f>
        <v/>
      </c>
    </row>
    <row r="1626" customFormat="false" ht="15" hidden="false" customHeight="false" outlineLevel="0" collapsed="false">
      <c r="A1626" s="22"/>
      <c r="B1626" s="23"/>
      <c r="C1626" s="23"/>
      <c r="D1626" s="24"/>
      <c r="E1626" s="23"/>
      <c r="F1626" s="15" t="str">
        <f aca="false">IF(B1626="","",IFERROR(INDEX(Configurações!$B$7:$B$30,MATCH(B1626,Configurações!$A$7:$A$30,0)),"?"))</f>
        <v/>
      </c>
      <c r="G1626" s="25" t="str">
        <f aca="false">IF(A1626="","",A1626-WEEKDAY(A1626,2)+1)</f>
        <v/>
      </c>
      <c r="H1626" s="26" t="str">
        <f aca="false">IF(A1626="","",DATE(YEAR(A1626),MONTH(A1626),1))</f>
        <v/>
      </c>
    </row>
    <row r="1627" customFormat="false" ht="15" hidden="false" customHeight="false" outlineLevel="0" collapsed="false">
      <c r="A1627" s="22"/>
      <c r="B1627" s="23"/>
      <c r="C1627" s="23"/>
      <c r="D1627" s="24"/>
      <c r="E1627" s="23"/>
      <c r="F1627" s="15" t="str">
        <f aca="false">IF(B1627="","",IFERROR(INDEX(Configurações!$B$7:$B$30,MATCH(B1627,Configurações!$A$7:$A$30,0)),"?"))</f>
        <v/>
      </c>
      <c r="G1627" s="25" t="str">
        <f aca="false">IF(A1627="","",A1627-WEEKDAY(A1627,2)+1)</f>
        <v/>
      </c>
      <c r="H1627" s="26" t="str">
        <f aca="false">IF(A1627="","",DATE(YEAR(A1627),MONTH(A1627),1))</f>
        <v/>
      </c>
    </row>
    <row r="1628" customFormat="false" ht="15" hidden="false" customHeight="false" outlineLevel="0" collapsed="false">
      <c r="A1628" s="22"/>
      <c r="B1628" s="23"/>
      <c r="C1628" s="23"/>
      <c r="D1628" s="24"/>
      <c r="E1628" s="23"/>
      <c r="F1628" s="15" t="str">
        <f aca="false">IF(B1628="","",IFERROR(INDEX(Configurações!$B$7:$B$30,MATCH(B1628,Configurações!$A$7:$A$30,0)),"?"))</f>
        <v/>
      </c>
      <c r="G1628" s="25" t="str">
        <f aca="false">IF(A1628="","",A1628-WEEKDAY(A1628,2)+1)</f>
        <v/>
      </c>
      <c r="H1628" s="26" t="str">
        <f aca="false">IF(A1628="","",DATE(YEAR(A1628),MONTH(A1628),1))</f>
        <v/>
      </c>
    </row>
    <row r="1629" customFormat="false" ht="15" hidden="false" customHeight="false" outlineLevel="0" collapsed="false">
      <c r="A1629" s="22"/>
      <c r="B1629" s="23"/>
      <c r="C1629" s="23"/>
      <c r="D1629" s="24"/>
      <c r="E1629" s="23"/>
      <c r="F1629" s="15" t="str">
        <f aca="false">IF(B1629="","",IFERROR(INDEX(Configurações!$B$7:$B$30,MATCH(B1629,Configurações!$A$7:$A$30,0)),"?"))</f>
        <v/>
      </c>
      <c r="G1629" s="25" t="str">
        <f aca="false">IF(A1629="","",A1629-WEEKDAY(A1629,2)+1)</f>
        <v/>
      </c>
      <c r="H1629" s="26" t="str">
        <f aca="false">IF(A1629="","",DATE(YEAR(A1629),MONTH(A1629),1))</f>
        <v/>
      </c>
    </row>
    <row r="1630" customFormat="false" ht="15" hidden="false" customHeight="false" outlineLevel="0" collapsed="false">
      <c r="A1630" s="22"/>
      <c r="B1630" s="23"/>
      <c r="C1630" s="23"/>
      <c r="D1630" s="24"/>
      <c r="E1630" s="23"/>
      <c r="F1630" s="15" t="str">
        <f aca="false">IF(B1630="","",IFERROR(INDEX(Configurações!$B$7:$B$30,MATCH(B1630,Configurações!$A$7:$A$30,0)),"?"))</f>
        <v/>
      </c>
      <c r="G1630" s="25" t="str">
        <f aca="false">IF(A1630="","",A1630-WEEKDAY(A1630,2)+1)</f>
        <v/>
      </c>
      <c r="H1630" s="26" t="str">
        <f aca="false">IF(A1630="","",DATE(YEAR(A1630),MONTH(A1630),1))</f>
        <v/>
      </c>
    </row>
    <row r="1631" customFormat="false" ht="15" hidden="false" customHeight="false" outlineLevel="0" collapsed="false">
      <c r="A1631" s="22"/>
      <c r="B1631" s="23"/>
      <c r="C1631" s="23"/>
      <c r="D1631" s="24"/>
      <c r="E1631" s="23"/>
      <c r="F1631" s="15" t="str">
        <f aca="false">IF(B1631="","",IFERROR(INDEX(Configurações!$B$7:$B$30,MATCH(B1631,Configurações!$A$7:$A$30,0)),"?"))</f>
        <v/>
      </c>
      <c r="G1631" s="25" t="str">
        <f aca="false">IF(A1631="","",A1631-WEEKDAY(A1631,2)+1)</f>
        <v/>
      </c>
      <c r="H1631" s="26" t="str">
        <f aca="false">IF(A1631="","",DATE(YEAR(A1631),MONTH(A1631),1))</f>
        <v/>
      </c>
    </row>
    <row r="1632" customFormat="false" ht="15" hidden="false" customHeight="false" outlineLevel="0" collapsed="false">
      <c r="A1632" s="22"/>
      <c r="B1632" s="23"/>
      <c r="C1632" s="23"/>
      <c r="D1632" s="24"/>
      <c r="E1632" s="23"/>
      <c r="F1632" s="15" t="str">
        <f aca="false">IF(B1632="","",IFERROR(INDEX(Configurações!$B$7:$B$30,MATCH(B1632,Configurações!$A$7:$A$30,0)),"?"))</f>
        <v/>
      </c>
      <c r="G1632" s="25" t="str">
        <f aca="false">IF(A1632="","",A1632-WEEKDAY(A1632,2)+1)</f>
        <v/>
      </c>
      <c r="H1632" s="26" t="str">
        <f aca="false">IF(A1632="","",DATE(YEAR(A1632),MONTH(A1632),1))</f>
        <v/>
      </c>
    </row>
    <row r="1633" customFormat="false" ht="15" hidden="false" customHeight="false" outlineLevel="0" collapsed="false">
      <c r="A1633" s="22"/>
      <c r="B1633" s="23"/>
      <c r="C1633" s="23"/>
      <c r="D1633" s="24"/>
      <c r="E1633" s="23"/>
      <c r="F1633" s="15" t="str">
        <f aca="false">IF(B1633="","",IFERROR(INDEX(Configurações!$B$7:$B$30,MATCH(B1633,Configurações!$A$7:$A$30,0)),"?"))</f>
        <v/>
      </c>
      <c r="G1633" s="25" t="str">
        <f aca="false">IF(A1633="","",A1633-WEEKDAY(A1633,2)+1)</f>
        <v/>
      </c>
      <c r="H1633" s="26" t="str">
        <f aca="false">IF(A1633="","",DATE(YEAR(A1633),MONTH(A1633),1))</f>
        <v/>
      </c>
    </row>
    <row r="1634" customFormat="false" ht="15" hidden="false" customHeight="false" outlineLevel="0" collapsed="false">
      <c r="A1634" s="22"/>
      <c r="B1634" s="23"/>
      <c r="C1634" s="23"/>
      <c r="D1634" s="24"/>
      <c r="E1634" s="23"/>
      <c r="F1634" s="15" t="str">
        <f aca="false">IF(B1634="","",IFERROR(INDEX(Configurações!$B$7:$B$30,MATCH(B1634,Configurações!$A$7:$A$30,0)),"?"))</f>
        <v/>
      </c>
      <c r="G1634" s="25" t="str">
        <f aca="false">IF(A1634="","",A1634-WEEKDAY(A1634,2)+1)</f>
        <v/>
      </c>
      <c r="H1634" s="26" t="str">
        <f aca="false">IF(A1634="","",DATE(YEAR(A1634),MONTH(A1634),1))</f>
        <v/>
      </c>
    </row>
    <row r="1635" customFormat="false" ht="15" hidden="false" customHeight="false" outlineLevel="0" collapsed="false">
      <c r="A1635" s="22"/>
      <c r="B1635" s="23"/>
      <c r="C1635" s="23"/>
      <c r="D1635" s="24"/>
      <c r="E1635" s="23"/>
      <c r="F1635" s="15" t="str">
        <f aca="false">IF(B1635="","",IFERROR(INDEX(Configurações!$B$7:$B$30,MATCH(B1635,Configurações!$A$7:$A$30,0)),"?"))</f>
        <v/>
      </c>
      <c r="G1635" s="25" t="str">
        <f aca="false">IF(A1635="","",A1635-WEEKDAY(A1635,2)+1)</f>
        <v/>
      </c>
      <c r="H1635" s="26" t="str">
        <f aca="false">IF(A1635="","",DATE(YEAR(A1635),MONTH(A1635),1))</f>
        <v/>
      </c>
    </row>
    <row r="1636" customFormat="false" ht="15" hidden="false" customHeight="false" outlineLevel="0" collapsed="false">
      <c r="A1636" s="22"/>
      <c r="B1636" s="23"/>
      <c r="C1636" s="23"/>
      <c r="D1636" s="24"/>
      <c r="E1636" s="23"/>
      <c r="F1636" s="15" t="str">
        <f aca="false">IF(B1636="","",IFERROR(INDEX(Configurações!$B$7:$B$30,MATCH(B1636,Configurações!$A$7:$A$30,0)),"?"))</f>
        <v/>
      </c>
      <c r="G1636" s="25" t="str">
        <f aca="false">IF(A1636="","",A1636-WEEKDAY(A1636,2)+1)</f>
        <v/>
      </c>
      <c r="H1636" s="26" t="str">
        <f aca="false">IF(A1636="","",DATE(YEAR(A1636),MONTH(A1636),1))</f>
        <v/>
      </c>
    </row>
    <row r="1637" customFormat="false" ht="15" hidden="false" customHeight="false" outlineLevel="0" collapsed="false">
      <c r="A1637" s="22"/>
      <c r="B1637" s="23"/>
      <c r="C1637" s="23"/>
      <c r="D1637" s="24"/>
      <c r="E1637" s="23"/>
      <c r="F1637" s="15" t="str">
        <f aca="false">IF(B1637="","",IFERROR(INDEX(Configurações!$B$7:$B$30,MATCH(B1637,Configurações!$A$7:$A$30,0)),"?"))</f>
        <v/>
      </c>
      <c r="G1637" s="25" t="str">
        <f aca="false">IF(A1637="","",A1637-WEEKDAY(A1637,2)+1)</f>
        <v/>
      </c>
      <c r="H1637" s="26" t="str">
        <f aca="false">IF(A1637="","",DATE(YEAR(A1637),MONTH(A1637),1))</f>
        <v/>
      </c>
    </row>
    <row r="1638" customFormat="false" ht="15" hidden="false" customHeight="false" outlineLevel="0" collapsed="false">
      <c r="A1638" s="22"/>
      <c r="B1638" s="23"/>
      <c r="C1638" s="23"/>
      <c r="D1638" s="24"/>
      <c r="E1638" s="23"/>
      <c r="F1638" s="15" t="str">
        <f aca="false">IF(B1638="","",IFERROR(INDEX(Configurações!$B$7:$B$30,MATCH(B1638,Configurações!$A$7:$A$30,0)),"?"))</f>
        <v/>
      </c>
      <c r="G1638" s="25" t="str">
        <f aca="false">IF(A1638="","",A1638-WEEKDAY(A1638,2)+1)</f>
        <v/>
      </c>
      <c r="H1638" s="26" t="str">
        <f aca="false">IF(A1638="","",DATE(YEAR(A1638),MONTH(A1638),1))</f>
        <v/>
      </c>
    </row>
    <row r="1639" customFormat="false" ht="15" hidden="false" customHeight="false" outlineLevel="0" collapsed="false">
      <c r="A1639" s="22"/>
      <c r="B1639" s="23"/>
      <c r="C1639" s="23"/>
      <c r="D1639" s="24"/>
      <c r="E1639" s="23"/>
      <c r="F1639" s="15" t="str">
        <f aca="false">IF(B1639="","",IFERROR(INDEX(Configurações!$B$7:$B$30,MATCH(B1639,Configurações!$A$7:$A$30,0)),"?"))</f>
        <v/>
      </c>
      <c r="G1639" s="25" t="str">
        <f aca="false">IF(A1639="","",A1639-WEEKDAY(A1639,2)+1)</f>
        <v/>
      </c>
      <c r="H1639" s="26" t="str">
        <f aca="false">IF(A1639="","",DATE(YEAR(A1639),MONTH(A1639),1))</f>
        <v/>
      </c>
    </row>
    <row r="1640" customFormat="false" ht="15" hidden="false" customHeight="false" outlineLevel="0" collapsed="false">
      <c r="A1640" s="22"/>
      <c r="B1640" s="23"/>
      <c r="C1640" s="23"/>
      <c r="D1640" s="24"/>
      <c r="E1640" s="23"/>
      <c r="F1640" s="15" t="str">
        <f aca="false">IF(B1640="","",IFERROR(INDEX(Configurações!$B$7:$B$30,MATCH(B1640,Configurações!$A$7:$A$30,0)),"?"))</f>
        <v/>
      </c>
      <c r="G1640" s="25" t="str">
        <f aca="false">IF(A1640="","",A1640-WEEKDAY(A1640,2)+1)</f>
        <v/>
      </c>
      <c r="H1640" s="26" t="str">
        <f aca="false">IF(A1640="","",DATE(YEAR(A1640),MONTH(A1640),1))</f>
        <v/>
      </c>
    </row>
    <row r="1641" customFormat="false" ht="15" hidden="false" customHeight="false" outlineLevel="0" collapsed="false">
      <c r="A1641" s="22"/>
      <c r="B1641" s="23"/>
      <c r="C1641" s="23"/>
      <c r="D1641" s="24"/>
      <c r="E1641" s="23"/>
      <c r="F1641" s="15" t="str">
        <f aca="false">IF(B1641="","",IFERROR(INDEX(Configurações!$B$7:$B$30,MATCH(B1641,Configurações!$A$7:$A$30,0)),"?"))</f>
        <v/>
      </c>
      <c r="G1641" s="25" t="str">
        <f aca="false">IF(A1641="","",A1641-WEEKDAY(A1641,2)+1)</f>
        <v/>
      </c>
      <c r="H1641" s="26" t="str">
        <f aca="false">IF(A1641="","",DATE(YEAR(A1641),MONTH(A1641),1))</f>
        <v/>
      </c>
    </row>
    <row r="1642" customFormat="false" ht="15" hidden="false" customHeight="false" outlineLevel="0" collapsed="false">
      <c r="A1642" s="22"/>
      <c r="B1642" s="23"/>
      <c r="C1642" s="23"/>
      <c r="D1642" s="24"/>
      <c r="E1642" s="23"/>
      <c r="F1642" s="15" t="str">
        <f aca="false">IF(B1642="","",IFERROR(INDEX(Configurações!$B$7:$B$30,MATCH(B1642,Configurações!$A$7:$A$30,0)),"?"))</f>
        <v/>
      </c>
      <c r="G1642" s="25" t="str">
        <f aca="false">IF(A1642="","",A1642-WEEKDAY(A1642,2)+1)</f>
        <v/>
      </c>
      <c r="H1642" s="26" t="str">
        <f aca="false">IF(A1642="","",DATE(YEAR(A1642),MONTH(A1642),1))</f>
        <v/>
      </c>
    </row>
    <row r="1643" customFormat="false" ht="15" hidden="false" customHeight="false" outlineLevel="0" collapsed="false">
      <c r="A1643" s="22"/>
      <c r="B1643" s="23"/>
      <c r="C1643" s="23"/>
      <c r="D1643" s="24"/>
      <c r="E1643" s="23"/>
      <c r="F1643" s="15" t="str">
        <f aca="false">IF(B1643="","",IFERROR(INDEX(Configurações!$B$7:$B$30,MATCH(B1643,Configurações!$A$7:$A$30,0)),"?"))</f>
        <v/>
      </c>
      <c r="G1643" s="25" t="str">
        <f aca="false">IF(A1643="","",A1643-WEEKDAY(A1643,2)+1)</f>
        <v/>
      </c>
      <c r="H1643" s="26" t="str">
        <f aca="false">IF(A1643="","",DATE(YEAR(A1643),MONTH(A1643),1))</f>
        <v/>
      </c>
    </row>
    <row r="1644" customFormat="false" ht="15" hidden="false" customHeight="false" outlineLevel="0" collapsed="false">
      <c r="A1644" s="22"/>
      <c r="B1644" s="23"/>
      <c r="C1644" s="23"/>
      <c r="D1644" s="24"/>
      <c r="E1644" s="23"/>
      <c r="F1644" s="15" t="str">
        <f aca="false">IF(B1644="","",IFERROR(INDEX(Configurações!$B$7:$B$30,MATCH(B1644,Configurações!$A$7:$A$30,0)),"?"))</f>
        <v/>
      </c>
      <c r="G1644" s="25" t="str">
        <f aca="false">IF(A1644="","",A1644-WEEKDAY(A1644,2)+1)</f>
        <v/>
      </c>
      <c r="H1644" s="26" t="str">
        <f aca="false">IF(A1644="","",DATE(YEAR(A1644),MONTH(A1644),1))</f>
        <v/>
      </c>
    </row>
    <row r="1645" customFormat="false" ht="15" hidden="false" customHeight="false" outlineLevel="0" collapsed="false">
      <c r="A1645" s="22"/>
      <c r="B1645" s="23"/>
      <c r="C1645" s="23"/>
      <c r="D1645" s="24"/>
      <c r="E1645" s="23"/>
      <c r="F1645" s="15" t="str">
        <f aca="false">IF(B1645="","",IFERROR(INDEX(Configurações!$B$7:$B$30,MATCH(B1645,Configurações!$A$7:$A$30,0)),"?"))</f>
        <v/>
      </c>
      <c r="G1645" s="25" t="str">
        <f aca="false">IF(A1645="","",A1645-WEEKDAY(A1645,2)+1)</f>
        <v/>
      </c>
      <c r="H1645" s="26" t="str">
        <f aca="false">IF(A1645="","",DATE(YEAR(A1645),MONTH(A1645),1))</f>
        <v/>
      </c>
    </row>
    <row r="1646" customFormat="false" ht="15" hidden="false" customHeight="false" outlineLevel="0" collapsed="false">
      <c r="A1646" s="22"/>
      <c r="B1646" s="23"/>
      <c r="C1646" s="23"/>
      <c r="D1646" s="24"/>
      <c r="E1646" s="23"/>
      <c r="F1646" s="15" t="str">
        <f aca="false">IF(B1646="","",IFERROR(INDEX(Configurações!$B$7:$B$30,MATCH(B1646,Configurações!$A$7:$A$30,0)),"?"))</f>
        <v/>
      </c>
      <c r="G1646" s="25" t="str">
        <f aca="false">IF(A1646="","",A1646-WEEKDAY(A1646,2)+1)</f>
        <v/>
      </c>
      <c r="H1646" s="26" t="str">
        <f aca="false">IF(A1646="","",DATE(YEAR(A1646),MONTH(A1646),1))</f>
        <v/>
      </c>
    </row>
    <row r="1647" customFormat="false" ht="15" hidden="false" customHeight="false" outlineLevel="0" collapsed="false">
      <c r="A1647" s="22"/>
      <c r="B1647" s="23"/>
      <c r="C1647" s="23"/>
      <c r="D1647" s="24"/>
      <c r="E1647" s="23"/>
      <c r="F1647" s="15" t="str">
        <f aca="false">IF(B1647="","",IFERROR(INDEX(Configurações!$B$7:$B$30,MATCH(B1647,Configurações!$A$7:$A$30,0)),"?"))</f>
        <v/>
      </c>
      <c r="G1647" s="25" t="str">
        <f aca="false">IF(A1647="","",A1647-WEEKDAY(A1647,2)+1)</f>
        <v/>
      </c>
      <c r="H1647" s="26" t="str">
        <f aca="false">IF(A1647="","",DATE(YEAR(A1647),MONTH(A1647),1))</f>
        <v/>
      </c>
    </row>
    <row r="1648" customFormat="false" ht="15" hidden="false" customHeight="false" outlineLevel="0" collapsed="false">
      <c r="A1648" s="22"/>
      <c r="B1648" s="23"/>
      <c r="C1648" s="23"/>
      <c r="D1648" s="24"/>
      <c r="E1648" s="23"/>
      <c r="F1648" s="15" t="str">
        <f aca="false">IF(B1648="","",IFERROR(INDEX(Configurações!$B$7:$B$30,MATCH(B1648,Configurações!$A$7:$A$30,0)),"?"))</f>
        <v/>
      </c>
      <c r="G1648" s="25" t="str">
        <f aca="false">IF(A1648="","",A1648-WEEKDAY(A1648,2)+1)</f>
        <v/>
      </c>
      <c r="H1648" s="26" t="str">
        <f aca="false">IF(A1648="","",DATE(YEAR(A1648),MONTH(A1648),1))</f>
        <v/>
      </c>
    </row>
    <row r="1649" customFormat="false" ht="15" hidden="false" customHeight="false" outlineLevel="0" collapsed="false">
      <c r="A1649" s="22"/>
      <c r="B1649" s="23"/>
      <c r="C1649" s="23"/>
      <c r="D1649" s="24"/>
      <c r="E1649" s="23"/>
      <c r="F1649" s="15" t="str">
        <f aca="false">IF(B1649="","",IFERROR(INDEX(Configurações!$B$7:$B$30,MATCH(B1649,Configurações!$A$7:$A$30,0)),"?"))</f>
        <v/>
      </c>
      <c r="G1649" s="25" t="str">
        <f aca="false">IF(A1649="","",A1649-WEEKDAY(A1649,2)+1)</f>
        <v/>
      </c>
      <c r="H1649" s="26" t="str">
        <f aca="false">IF(A1649="","",DATE(YEAR(A1649),MONTH(A1649),1))</f>
        <v/>
      </c>
    </row>
    <row r="1650" customFormat="false" ht="15" hidden="false" customHeight="false" outlineLevel="0" collapsed="false">
      <c r="A1650" s="22"/>
      <c r="B1650" s="23"/>
      <c r="C1650" s="23"/>
      <c r="D1650" s="24"/>
      <c r="E1650" s="23"/>
      <c r="F1650" s="15" t="str">
        <f aca="false">IF(B1650="","",IFERROR(INDEX(Configurações!$B$7:$B$30,MATCH(B1650,Configurações!$A$7:$A$30,0)),"?"))</f>
        <v/>
      </c>
      <c r="G1650" s="25" t="str">
        <f aca="false">IF(A1650="","",A1650-WEEKDAY(A1650,2)+1)</f>
        <v/>
      </c>
      <c r="H1650" s="26" t="str">
        <f aca="false">IF(A1650="","",DATE(YEAR(A1650),MONTH(A1650),1))</f>
        <v/>
      </c>
    </row>
    <row r="1651" customFormat="false" ht="15" hidden="false" customHeight="false" outlineLevel="0" collapsed="false">
      <c r="A1651" s="22"/>
      <c r="B1651" s="23"/>
      <c r="C1651" s="23"/>
      <c r="D1651" s="24"/>
      <c r="E1651" s="23"/>
      <c r="F1651" s="15" t="str">
        <f aca="false">IF(B1651="","",IFERROR(INDEX(Configurações!$B$7:$B$30,MATCH(B1651,Configurações!$A$7:$A$30,0)),"?"))</f>
        <v/>
      </c>
      <c r="G1651" s="25" t="str">
        <f aca="false">IF(A1651="","",A1651-WEEKDAY(A1651,2)+1)</f>
        <v/>
      </c>
      <c r="H1651" s="26" t="str">
        <f aca="false">IF(A1651="","",DATE(YEAR(A1651),MONTH(A1651),1))</f>
        <v/>
      </c>
    </row>
    <row r="1652" customFormat="false" ht="15" hidden="false" customHeight="false" outlineLevel="0" collapsed="false">
      <c r="A1652" s="22"/>
      <c r="B1652" s="23"/>
      <c r="C1652" s="23"/>
      <c r="D1652" s="24"/>
      <c r="E1652" s="23"/>
      <c r="F1652" s="15" t="str">
        <f aca="false">IF(B1652="","",IFERROR(INDEX(Configurações!$B$7:$B$30,MATCH(B1652,Configurações!$A$7:$A$30,0)),"?"))</f>
        <v/>
      </c>
      <c r="G1652" s="25" t="str">
        <f aca="false">IF(A1652="","",A1652-WEEKDAY(A1652,2)+1)</f>
        <v/>
      </c>
      <c r="H1652" s="26" t="str">
        <f aca="false">IF(A1652="","",DATE(YEAR(A1652),MONTH(A1652),1))</f>
        <v/>
      </c>
    </row>
    <row r="1653" customFormat="false" ht="15" hidden="false" customHeight="false" outlineLevel="0" collapsed="false">
      <c r="A1653" s="22"/>
      <c r="B1653" s="23"/>
      <c r="C1653" s="23"/>
      <c r="D1653" s="24"/>
      <c r="E1653" s="23"/>
      <c r="F1653" s="15" t="str">
        <f aca="false">IF(B1653="","",IFERROR(INDEX(Configurações!$B$7:$B$30,MATCH(B1653,Configurações!$A$7:$A$30,0)),"?"))</f>
        <v/>
      </c>
      <c r="G1653" s="25" t="str">
        <f aca="false">IF(A1653="","",A1653-WEEKDAY(A1653,2)+1)</f>
        <v/>
      </c>
      <c r="H1653" s="26" t="str">
        <f aca="false">IF(A1653="","",DATE(YEAR(A1653),MONTH(A1653),1))</f>
        <v/>
      </c>
    </row>
    <row r="1654" customFormat="false" ht="15" hidden="false" customHeight="false" outlineLevel="0" collapsed="false">
      <c r="A1654" s="22"/>
      <c r="B1654" s="23"/>
      <c r="C1654" s="23"/>
      <c r="D1654" s="24"/>
      <c r="E1654" s="23"/>
      <c r="F1654" s="15" t="str">
        <f aca="false">IF(B1654="","",IFERROR(INDEX(Configurações!$B$7:$B$30,MATCH(B1654,Configurações!$A$7:$A$30,0)),"?"))</f>
        <v/>
      </c>
      <c r="G1654" s="25" t="str">
        <f aca="false">IF(A1654="","",A1654-WEEKDAY(A1654,2)+1)</f>
        <v/>
      </c>
      <c r="H1654" s="26" t="str">
        <f aca="false">IF(A1654="","",DATE(YEAR(A1654),MONTH(A1654),1))</f>
        <v/>
      </c>
    </row>
    <row r="1655" customFormat="false" ht="15" hidden="false" customHeight="false" outlineLevel="0" collapsed="false">
      <c r="A1655" s="22"/>
      <c r="B1655" s="23"/>
      <c r="C1655" s="23"/>
      <c r="D1655" s="24"/>
      <c r="E1655" s="23"/>
      <c r="F1655" s="15" t="str">
        <f aca="false">IF(B1655="","",IFERROR(INDEX(Configurações!$B$7:$B$30,MATCH(B1655,Configurações!$A$7:$A$30,0)),"?"))</f>
        <v/>
      </c>
      <c r="G1655" s="25" t="str">
        <f aca="false">IF(A1655="","",A1655-WEEKDAY(A1655,2)+1)</f>
        <v/>
      </c>
      <c r="H1655" s="26" t="str">
        <f aca="false">IF(A1655="","",DATE(YEAR(A1655),MONTH(A1655),1))</f>
        <v/>
      </c>
    </row>
    <row r="1656" customFormat="false" ht="15" hidden="false" customHeight="false" outlineLevel="0" collapsed="false">
      <c r="A1656" s="22"/>
      <c r="B1656" s="23"/>
      <c r="C1656" s="23"/>
      <c r="D1656" s="24"/>
      <c r="E1656" s="23"/>
      <c r="F1656" s="15" t="str">
        <f aca="false">IF(B1656="","",IFERROR(INDEX(Configurações!$B$7:$B$30,MATCH(B1656,Configurações!$A$7:$A$30,0)),"?"))</f>
        <v/>
      </c>
      <c r="G1656" s="25" t="str">
        <f aca="false">IF(A1656="","",A1656-WEEKDAY(A1656,2)+1)</f>
        <v/>
      </c>
      <c r="H1656" s="26" t="str">
        <f aca="false">IF(A1656="","",DATE(YEAR(A1656),MONTH(A1656),1))</f>
        <v/>
      </c>
    </row>
    <row r="1657" customFormat="false" ht="15" hidden="false" customHeight="false" outlineLevel="0" collapsed="false">
      <c r="A1657" s="22"/>
      <c r="B1657" s="23"/>
      <c r="C1657" s="23"/>
      <c r="D1657" s="24"/>
      <c r="E1657" s="23"/>
      <c r="F1657" s="15" t="str">
        <f aca="false">IF(B1657="","",IFERROR(INDEX(Configurações!$B$7:$B$30,MATCH(B1657,Configurações!$A$7:$A$30,0)),"?"))</f>
        <v/>
      </c>
      <c r="G1657" s="25" t="str">
        <f aca="false">IF(A1657="","",A1657-WEEKDAY(A1657,2)+1)</f>
        <v/>
      </c>
      <c r="H1657" s="26" t="str">
        <f aca="false">IF(A1657="","",DATE(YEAR(A1657),MONTH(A1657),1))</f>
        <v/>
      </c>
    </row>
    <row r="1658" customFormat="false" ht="15" hidden="false" customHeight="false" outlineLevel="0" collapsed="false">
      <c r="A1658" s="22"/>
      <c r="B1658" s="23"/>
      <c r="C1658" s="23"/>
      <c r="D1658" s="24"/>
      <c r="E1658" s="23"/>
      <c r="F1658" s="15" t="str">
        <f aca="false">IF(B1658="","",IFERROR(INDEX(Configurações!$B$7:$B$30,MATCH(B1658,Configurações!$A$7:$A$30,0)),"?"))</f>
        <v/>
      </c>
      <c r="G1658" s="25" t="str">
        <f aca="false">IF(A1658="","",A1658-WEEKDAY(A1658,2)+1)</f>
        <v/>
      </c>
      <c r="H1658" s="26" t="str">
        <f aca="false">IF(A1658="","",DATE(YEAR(A1658),MONTH(A1658),1))</f>
        <v/>
      </c>
    </row>
    <row r="1659" customFormat="false" ht="15" hidden="false" customHeight="false" outlineLevel="0" collapsed="false">
      <c r="A1659" s="22"/>
      <c r="B1659" s="23"/>
      <c r="C1659" s="23"/>
      <c r="D1659" s="24"/>
      <c r="E1659" s="23"/>
      <c r="F1659" s="15" t="str">
        <f aca="false">IF(B1659="","",IFERROR(INDEX(Configurações!$B$7:$B$30,MATCH(B1659,Configurações!$A$7:$A$30,0)),"?"))</f>
        <v/>
      </c>
      <c r="G1659" s="25" t="str">
        <f aca="false">IF(A1659="","",A1659-WEEKDAY(A1659,2)+1)</f>
        <v/>
      </c>
      <c r="H1659" s="26" t="str">
        <f aca="false">IF(A1659="","",DATE(YEAR(A1659),MONTH(A1659),1))</f>
        <v/>
      </c>
    </row>
    <row r="1660" customFormat="false" ht="15" hidden="false" customHeight="false" outlineLevel="0" collapsed="false">
      <c r="A1660" s="22"/>
      <c r="B1660" s="23"/>
      <c r="C1660" s="23"/>
      <c r="D1660" s="24"/>
      <c r="E1660" s="23"/>
      <c r="F1660" s="15" t="str">
        <f aca="false">IF(B1660="","",IFERROR(INDEX(Configurações!$B$7:$B$30,MATCH(B1660,Configurações!$A$7:$A$30,0)),"?"))</f>
        <v/>
      </c>
      <c r="G1660" s="25" t="str">
        <f aca="false">IF(A1660="","",A1660-WEEKDAY(A1660,2)+1)</f>
        <v/>
      </c>
      <c r="H1660" s="26" t="str">
        <f aca="false">IF(A1660="","",DATE(YEAR(A1660),MONTH(A1660),1))</f>
        <v/>
      </c>
    </row>
    <row r="1661" customFormat="false" ht="15" hidden="false" customHeight="false" outlineLevel="0" collapsed="false">
      <c r="A1661" s="22"/>
      <c r="B1661" s="23"/>
      <c r="C1661" s="23"/>
      <c r="D1661" s="24"/>
      <c r="E1661" s="23"/>
      <c r="F1661" s="15" t="str">
        <f aca="false">IF(B1661="","",IFERROR(INDEX(Configurações!$B$7:$B$30,MATCH(B1661,Configurações!$A$7:$A$30,0)),"?"))</f>
        <v/>
      </c>
      <c r="G1661" s="25" t="str">
        <f aca="false">IF(A1661="","",A1661-WEEKDAY(A1661,2)+1)</f>
        <v/>
      </c>
      <c r="H1661" s="26" t="str">
        <f aca="false">IF(A1661="","",DATE(YEAR(A1661),MONTH(A1661),1))</f>
        <v/>
      </c>
    </row>
    <row r="1662" customFormat="false" ht="15" hidden="false" customHeight="false" outlineLevel="0" collapsed="false">
      <c r="A1662" s="22"/>
      <c r="B1662" s="23"/>
      <c r="C1662" s="23"/>
      <c r="D1662" s="24"/>
      <c r="E1662" s="23"/>
      <c r="F1662" s="15" t="str">
        <f aca="false">IF(B1662="","",IFERROR(INDEX(Configurações!$B$7:$B$30,MATCH(B1662,Configurações!$A$7:$A$30,0)),"?"))</f>
        <v/>
      </c>
      <c r="G1662" s="25" t="str">
        <f aca="false">IF(A1662="","",A1662-WEEKDAY(A1662,2)+1)</f>
        <v/>
      </c>
      <c r="H1662" s="26" t="str">
        <f aca="false">IF(A1662="","",DATE(YEAR(A1662),MONTH(A1662),1))</f>
        <v/>
      </c>
    </row>
    <row r="1663" customFormat="false" ht="15" hidden="false" customHeight="false" outlineLevel="0" collapsed="false">
      <c r="A1663" s="22"/>
      <c r="B1663" s="23"/>
      <c r="C1663" s="23"/>
      <c r="D1663" s="24"/>
      <c r="E1663" s="23"/>
      <c r="F1663" s="15" t="str">
        <f aca="false">IF(B1663="","",IFERROR(INDEX(Configurações!$B$7:$B$30,MATCH(B1663,Configurações!$A$7:$A$30,0)),"?"))</f>
        <v/>
      </c>
      <c r="G1663" s="25" t="str">
        <f aca="false">IF(A1663="","",A1663-WEEKDAY(A1663,2)+1)</f>
        <v/>
      </c>
      <c r="H1663" s="26" t="str">
        <f aca="false">IF(A1663="","",DATE(YEAR(A1663),MONTH(A1663),1))</f>
        <v/>
      </c>
    </row>
    <row r="1664" customFormat="false" ht="15" hidden="false" customHeight="false" outlineLevel="0" collapsed="false">
      <c r="A1664" s="22"/>
      <c r="B1664" s="23"/>
      <c r="C1664" s="23"/>
      <c r="D1664" s="24"/>
      <c r="E1664" s="23"/>
      <c r="F1664" s="15" t="str">
        <f aca="false">IF(B1664="","",IFERROR(INDEX(Configurações!$B$7:$B$30,MATCH(B1664,Configurações!$A$7:$A$30,0)),"?"))</f>
        <v/>
      </c>
      <c r="G1664" s="25" t="str">
        <f aca="false">IF(A1664="","",A1664-WEEKDAY(A1664,2)+1)</f>
        <v/>
      </c>
      <c r="H1664" s="26" t="str">
        <f aca="false">IF(A1664="","",DATE(YEAR(A1664),MONTH(A1664),1))</f>
        <v/>
      </c>
    </row>
    <row r="1665" customFormat="false" ht="15" hidden="false" customHeight="false" outlineLevel="0" collapsed="false">
      <c r="A1665" s="22"/>
      <c r="B1665" s="23"/>
      <c r="C1665" s="23"/>
      <c r="D1665" s="24"/>
      <c r="E1665" s="23"/>
      <c r="F1665" s="15" t="str">
        <f aca="false">IF(B1665="","",IFERROR(INDEX(Configurações!$B$7:$B$30,MATCH(B1665,Configurações!$A$7:$A$30,0)),"?"))</f>
        <v/>
      </c>
      <c r="G1665" s="25" t="str">
        <f aca="false">IF(A1665="","",A1665-WEEKDAY(A1665,2)+1)</f>
        <v/>
      </c>
      <c r="H1665" s="26" t="str">
        <f aca="false">IF(A1665="","",DATE(YEAR(A1665),MONTH(A1665),1))</f>
        <v/>
      </c>
    </row>
    <row r="1666" customFormat="false" ht="15" hidden="false" customHeight="false" outlineLevel="0" collapsed="false">
      <c r="A1666" s="22"/>
      <c r="B1666" s="23"/>
      <c r="C1666" s="23"/>
      <c r="D1666" s="24"/>
      <c r="E1666" s="23"/>
      <c r="F1666" s="15" t="str">
        <f aca="false">IF(B1666="","",IFERROR(INDEX(Configurações!$B$7:$B$30,MATCH(B1666,Configurações!$A$7:$A$30,0)),"?"))</f>
        <v/>
      </c>
      <c r="G1666" s="25" t="str">
        <f aca="false">IF(A1666="","",A1666-WEEKDAY(A1666,2)+1)</f>
        <v/>
      </c>
      <c r="H1666" s="26" t="str">
        <f aca="false">IF(A1666="","",DATE(YEAR(A1666),MONTH(A1666),1))</f>
        <v/>
      </c>
    </row>
    <row r="1667" customFormat="false" ht="15" hidden="false" customHeight="false" outlineLevel="0" collapsed="false">
      <c r="A1667" s="22"/>
      <c r="B1667" s="23"/>
      <c r="C1667" s="23"/>
      <c r="D1667" s="24"/>
      <c r="E1667" s="23"/>
      <c r="F1667" s="15" t="str">
        <f aca="false">IF(B1667="","",IFERROR(INDEX(Configurações!$B$7:$B$30,MATCH(B1667,Configurações!$A$7:$A$30,0)),"?"))</f>
        <v/>
      </c>
      <c r="G1667" s="25" t="str">
        <f aca="false">IF(A1667="","",A1667-WEEKDAY(A1667,2)+1)</f>
        <v/>
      </c>
      <c r="H1667" s="26" t="str">
        <f aca="false">IF(A1667="","",DATE(YEAR(A1667),MONTH(A1667),1))</f>
        <v/>
      </c>
    </row>
    <row r="1668" customFormat="false" ht="15" hidden="false" customHeight="false" outlineLevel="0" collapsed="false">
      <c r="A1668" s="22"/>
      <c r="B1668" s="23"/>
      <c r="C1668" s="23"/>
      <c r="D1668" s="24"/>
      <c r="E1668" s="23"/>
      <c r="F1668" s="15" t="str">
        <f aca="false">IF(B1668="","",IFERROR(INDEX(Configurações!$B$7:$B$30,MATCH(B1668,Configurações!$A$7:$A$30,0)),"?"))</f>
        <v/>
      </c>
      <c r="G1668" s="25" t="str">
        <f aca="false">IF(A1668="","",A1668-WEEKDAY(A1668,2)+1)</f>
        <v/>
      </c>
      <c r="H1668" s="26" t="str">
        <f aca="false">IF(A1668="","",DATE(YEAR(A1668),MONTH(A1668),1))</f>
        <v/>
      </c>
    </row>
    <row r="1669" customFormat="false" ht="15" hidden="false" customHeight="false" outlineLevel="0" collapsed="false">
      <c r="A1669" s="22"/>
      <c r="B1669" s="23"/>
      <c r="C1669" s="23"/>
      <c r="D1669" s="24"/>
      <c r="E1669" s="23"/>
      <c r="F1669" s="15" t="str">
        <f aca="false">IF(B1669="","",IFERROR(INDEX(Configurações!$B$7:$B$30,MATCH(B1669,Configurações!$A$7:$A$30,0)),"?"))</f>
        <v/>
      </c>
      <c r="G1669" s="25" t="str">
        <f aca="false">IF(A1669="","",A1669-WEEKDAY(A1669,2)+1)</f>
        <v/>
      </c>
      <c r="H1669" s="26" t="str">
        <f aca="false">IF(A1669="","",DATE(YEAR(A1669),MONTH(A1669),1))</f>
        <v/>
      </c>
    </row>
    <row r="1670" customFormat="false" ht="15" hidden="false" customHeight="false" outlineLevel="0" collapsed="false">
      <c r="A1670" s="22"/>
      <c r="B1670" s="23"/>
      <c r="C1670" s="23"/>
      <c r="D1670" s="24"/>
      <c r="E1670" s="23"/>
      <c r="F1670" s="15" t="str">
        <f aca="false">IF(B1670="","",IFERROR(INDEX(Configurações!$B$7:$B$30,MATCH(B1670,Configurações!$A$7:$A$30,0)),"?"))</f>
        <v/>
      </c>
      <c r="G1670" s="25" t="str">
        <f aca="false">IF(A1670="","",A1670-WEEKDAY(A1670,2)+1)</f>
        <v/>
      </c>
      <c r="H1670" s="26" t="str">
        <f aca="false">IF(A1670="","",DATE(YEAR(A1670),MONTH(A1670),1))</f>
        <v/>
      </c>
    </row>
    <row r="1671" customFormat="false" ht="15" hidden="false" customHeight="false" outlineLevel="0" collapsed="false">
      <c r="A1671" s="22"/>
      <c r="B1671" s="23"/>
      <c r="C1671" s="23"/>
      <c r="D1671" s="24"/>
      <c r="E1671" s="23"/>
      <c r="F1671" s="15" t="str">
        <f aca="false">IF(B1671="","",IFERROR(INDEX(Configurações!$B$7:$B$30,MATCH(B1671,Configurações!$A$7:$A$30,0)),"?"))</f>
        <v/>
      </c>
      <c r="G1671" s="25" t="str">
        <f aca="false">IF(A1671="","",A1671-WEEKDAY(A1671,2)+1)</f>
        <v/>
      </c>
      <c r="H1671" s="26" t="str">
        <f aca="false">IF(A1671="","",DATE(YEAR(A1671),MONTH(A1671),1))</f>
        <v/>
      </c>
    </row>
    <row r="1672" customFormat="false" ht="15" hidden="false" customHeight="false" outlineLevel="0" collapsed="false">
      <c r="A1672" s="22"/>
      <c r="B1672" s="23"/>
      <c r="C1672" s="23"/>
      <c r="D1672" s="24"/>
      <c r="E1672" s="23"/>
      <c r="F1672" s="15" t="str">
        <f aca="false">IF(B1672="","",IFERROR(INDEX(Configurações!$B$7:$B$30,MATCH(B1672,Configurações!$A$7:$A$30,0)),"?"))</f>
        <v/>
      </c>
      <c r="G1672" s="25" t="str">
        <f aca="false">IF(A1672="","",A1672-WEEKDAY(A1672,2)+1)</f>
        <v/>
      </c>
      <c r="H1672" s="26" t="str">
        <f aca="false">IF(A1672="","",DATE(YEAR(A1672),MONTH(A1672),1))</f>
        <v/>
      </c>
    </row>
    <row r="1673" customFormat="false" ht="15" hidden="false" customHeight="false" outlineLevel="0" collapsed="false">
      <c r="A1673" s="22"/>
      <c r="B1673" s="23"/>
      <c r="C1673" s="23"/>
      <c r="D1673" s="24"/>
      <c r="E1673" s="23"/>
      <c r="F1673" s="15" t="str">
        <f aca="false">IF(B1673="","",IFERROR(INDEX(Configurações!$B$7:$B$30,MATCH(B1673,Configurações!$A$7:$A$30,0)),"?"))</f>
        <v/>
      </c>
      <c r="G1673" s="25" t="str">
        <f aca="false">IF(A1673="","",A1673-WEEKDAY(A1673,2)+1)</f>
        <v/>
      </c>
      <c r="H1673" s="26" t="str">
        <f aca="false">IF(A1673="","",DATE(YEAR(A1673),MONTH(A1673),1))</f>
        <v/>
      </c>
    </row>
    <row r="1674" customFormat="false" ht="15" hidden="false" customHeight="false" outlineLevel="0" collapsed="false">
      <c r="A1674" s="22"/>
      <c r="B1674" s="23"/>
      <c r="C1674" s="23"/>
      <c r="D1674" s="24"/>
      <c r="E1674" s="23"/>
      <c r="F1674" s="15" t="str">
        <f aca="false">IF(B1674="","",IFERROR(INDEX(Configurações!$B$7:$B$30,MATCH(B1674,Configurações!$A$7:$A$30,0)),"?"))</f>
        <v/>
      </c>
      <c r="G1674" s="25" t="str">
        <f aca="false">IF(A1674="","",A1674-WEEKDAY(A1674,2)+1)</f>
        <v/>
      </c>
      <c r="H1674" s="26" t="str">
        <f aca="false">IF(A1674="","",DATE(YEAR(A1674),MONTH(A1674),1))</f>
        <v/>
      </c>
    </row>
    <row r="1675" customFormat="false" ht="15" hidden="false" customHeight="false" outlineLevel="0" collapsed="false">
      <c r="A1675" s="22"/>
      <c r="B1675" s="23"/>
      <c r="C1675" s="23"/>
      <c r="D1675" s="24"/>
      <c r="E1675" s="23"/>
      <c r="F1675" s="15" t="str">
        <f aca="false">IF(B1675="","",IFERROR(INDEX(Configurações!$B$7:$B$30,MATCH(B1675,Configurações!$A$7:$A$30,0)),"?"))</f>
        <v/>
      </c>
      <c r="G1675" s="25" t="str">
        <f aca="false">IF(A1675="","",A1675-WEEKDAY(A1675,2)+1)</f>
        <v/>
      </c>
      <c r="H1675" s="26" t="str">
        <f aca="false">IF(A1675="","",DATE(YEAR(A1675),MONTH(A1675),1))</f>
        <v/>
      </c>
    </row>
    <row r="1676" customFormat="false" ht="15" hidden="false" customHeight="false" outlineLevel="0" collapsed="false">
      <c r="A1676" s="22"/>
      <c r="B1676" s="23"/>
      <c r="C1676" s="23"/>
      <c r="D1676" s="24"/>
      <c r="E1676" s="23"/>
      <c r="F1676" s="15" t="str">
        <f aca="false">IF(B1676="","",IFERROR(INDEX(Configurações!$B$7:$B$30,MATCH(B1676,Configurações!$A$7:$A$30,0)),"?"))</f>
        <v/>
      </c>
      <c r="G1676" s="25" t="str">
        <f aca="false">IF(A1676="","",A1676-WEEKDAY(A1676,2)+1)</f>
        <v/>
      </c>
      <c r="H1676" s="26" t="str">
        <f aca="false">IF(A1676="","",DATE(YEAR(A1676),MONTH(A1676),1))</f>
        <v/>
      </c>
    </row>
    <row r="1677" customFormat="false" ht="15" hidden="false" customHeight="false" outlineLevel="0" collapsed="false">
      <c r="A1677" s="22"/>
      <c r="B1677" s="23"/>
      <c r="C1677" s="23"/>
      <c r="D1677" s="24"/>
      <c r="E1677" s="23"/>
      <c r="F1677" s="15" t="str">
        <f aca="false">IF(B1677="","",IFERROR(INDEX(Configurações!$B$7:$B$30,MATCH(B1677,Configurações!$A$7:$A$30,0)),"?"))</f>
        <v/>
      </c>
      <c r="G1677" s="25" t="str">
        <f aca="false">IF(A1677="","",A1677-WEEKDAY(A1677,2)+1)</f>
        <v/>
      </c>
      <c r="H1677" s="26" t="str">
        <f aca="false">IF(A1677="","",DATE(YEAR(A1677),MONTH(A1677),1))</f>
        <v/>
      </c>
    </row>
    <row r="1678" customFormat="false" ht="15" hidden="false" customHeight="false" outlineLevel="0" collapsed="false">
      <c r="A1678" s="22"/>
      <c r="B1678" s="23"/>
      <c r="C1678" s="23"/>
      <c r="D1678" s="24"/>
      <c r="E1678" s="23"/>
      <c r="F1678" s="15" t="str">
        <f aca="false">IF(B1678="","",IFERROR(INDEX(Configurações!$B$7:$B$30,MATCH(B1678,Configurações!$A$7:$A$30,0)),"?"))</f>
        <v/>
      </c>
      <c r="G1678" s="25" t="str">
        <f aca="false">IF(A1678="","",A1678-WEEKDAY(A1678,2)+1)</f>
        <v/>
      </c>
      <c r="H1678" s="26" t="str">
        <f aca="false">IF(A1678="","",DATE(YEAR(A1678),MONTH(A1678),1))</f>
        <v/>
      </c>
    </row>
    <row r="1679" customFormat="false" ht="15" hidden="false" customHeight="false" outlineLevel="0" collapsed="false">
      <c r="A1679" s="22"/>
      <c r="B1679" s="23"/>
      <c r="C1679" s="23"/>
      <c r="D1679" s="24"/>
      <c r="E1679" s="23"/>
      <c r="F1679" s="15" t="str">
        <f aca="false">IF(B1679="","",IFERROR(INDEX(Configurações!$B$7:$B$30,MATCH(B1679,Configurações!$A$7:$A$30,0)),"?"))</f>
        <v/>
      </c>
      <c r="G1679" s="25" t="str">
        <f aca="false">IF(A1679="","",A1679-WEEKDAY(A1679,2)+1)</f>
        <v/>
      </c>
      <c r="H1679" s="26" t="str">
        <f aca="false">IF(A1679="","",DATE(YEAR(A1679),MONTH(A1679),1))</f>
        <v/>
      </c>
    </row>
    <row r="1680" customFormat="false" ht="15" hidden="false" customHeight="false" outlineLevel="0" collapsed="false">
      <c r="A1680" s="22"/>
      <c r="B1680" s="23"/>
      <c r="C1680" s="23"/>
      <c r="D1680" s="24"/>
      <c r="E1680" s="23"/>
      <c r="F1680" s="15" t="str">
        <f aca="false">IF(B1680="","",IFERROR(INDEX(Configurações!$B$7:$B$30,MATCH(B1680,Configurações!$A$7:$A$30,0)),"?"))</f>
        <v/>
      </c>
      <c r="G1680" s="25" t="str">
        <f aca="false">IF(A1680="","",A1680-WEEKDAY(A1680,2)+1)</f>
        <v/>
      </c>
      <c r="H1680" s="26" t="str">
        <f aca="false">IF(A1680="","",DATE(YEAR(A1680),MONTH(A1680),1))</f>
        <v/>
      </c>
    </row>
    <row r="1681" customFormat="false" ht="15" hidden="false" customHeight="false" outlineLevel="0" collapsed="false">
      <c r="A1681" s="22"/>
      <c r="B1681" s="23"/>
      <c r="C1681" s="23"/>
      <c r="D1681" s="24"/>
      <c r="E1681" s="23"/>
      <c r="F1681" s="15" t="str">
        <f aca="false">IF(B1681="","",IFERROR(INDEX(Configurações!$B$7:$B$30,MATCH(B1681,Configurações!$A$7:$A$30,0)),"?"))</f>
        <v/>
      </c>
      <c r="G1681" s="25" t="str">
        <f aca="false">IF(A1681="","",A1681-WEEKDAY(A1681,2)+1)</f>
        <v/>
      </c>
      <c r="H1681" s="26" t="str">
        <f aca="false">IF(A1681="","",DATE(YEAR(A1681),MONTH(A1681),1))</f>
        <v/>
      </c>
    </row>
    <row r="1682" customFormat="false" ht="15" hidden="false" customHeight="false" outlineLevel="0" collapsed="false">
      <c r="A1682" s="22"/>
      <c r="B1682" s="23"/>
      <c r="C1682" s="23"/>
      <c r="D1682" s="24"/>
      <c r="E1682" s="23"/>
      <c r="F1682" s="15" t="str">
        <f aca="false">IF(B1682="","",IFERROR(INDEX(Configurações!$B$7:$B$30,MATCH(B1682,Configurações!$A$7:$A$30,0)),"?"))</f>
        <v/>
      </c>
      <c r="G1682" s="25" t="str">
        <f aca="false">IF(A1682="","",A1682-WEEKDAY(A1682,2)+1)</f>
        <v/>
      </c>
      <c r="H1682" s="26" t="str">
        <f aca="false">IF(A1682="","",DATE(YEAR(A1682),MONTH(A1682),1))</f>
        <v/>
      </c>
    </row>
    <row r="1683" customFormat="false" ht="15" hidden="false" customHeight="false" outlineLevel="0" collapsed="false">
      <c r="A1683" s="22"/>
      <c r="B1683" s="23"/>
      <c r="C1683" s="23"/>
      <c r="D1683" s="24"/>
      <c r="E1683" s="23"/>
      <c r="F1683" s="15" t="str">
        <f aca="false">IF(B1683="","",IFERROR(INDEX(Configurações!$B$7:$B$30,MATCH(B1683,Configurações!$A$7:$A$30,0)),"?"))</f>
        <v/>
      </c>
      <c r="G1683" s="25" t="str">
        <f aca="false">IF(A1683="","",A1683-WEEKDAY(A1683,2)+1)</f>
        <v/>
      </c>
      <c r="H1683" s="26" t="str">
        <f aca="false">IF(A1683="","",DATE(YEAR(A1683),MONTH(A1683),1))</f>
        <v/>
      </c>
    </row>
    <row r="1684" customFormat="false" ht="15" hidden="false" customHeight="false" outlineLevel="0" collapsed="false">
      <c r="A1684" s="22"/>
      <c r="B1684" s="23"/>
      <c r="C1684" s="23"/>
      <c r="D1684" s="24"/>
      <c r="E1684" s="23"/>
      <c r="F1684" s="15" t="str">
        <f aca="false">IF(B1684="","",IFERROR(INDEX(Configurações!$B$7:$B$30,MATCH(B1684,Configurações!$A$7:$A$30,0)),"?"))</f>
        <v/>
      </c>
      <c r="G1684" s="25" t="str">
        <f aca="false">IF(A1684="","",A1684-WEEKDAY(A1684,2)+1)</f>
        <v/>
      </c>
      <c r="H1684" s="26" t="str">
        <f aca="false">IF(A1684="","",DATE(YEAR(A1684),MONTH(A1684),1))</f>
        <v/>
      </c>
    </row>
    <row r="1685" customFormat="false" ht="15" hidden="false" customHeight="false" outlineLevel="0" collapsed="false">
      <c r="A1685" s="22"/>
      <c r="B1685" s="23"/>
      <c r="C1685" s="23"/>
      <c r="D1685" s="24"/>
      <c r="E1685" s="23"/>
      <c r="F1685" s="15" t="str">
        <f aca="false">IF(B1685="","",IFERROR(INDEX(Configurações!$B$7:$B$30,MATCH(B1685,Configurações!$A$7:$A$30,0)),"?"))</f>
        <v/>
      </c>
      <c r="G1685" s="25" t="str">
        <f aca="false">IF(A1685="","",A1685-WEEKDAY(A1685,2)+1)</f>
        <v/>
      </c>
      <c r="H1685" s="26" t="str">
        <f aca="false">IF(A1685="","",DATE(YEAR(A1685),MONTH(A1685),1))</f>
        <v/>
      </c>
    </row>
    <row r="1686" customFormat="false" ht="15" hidden="false" customHeight="false" outlineLevel="0" collapsed="false">
      <c r="A1686" s="22"/>
      <c r="B1686" s="23"/>
      <c r="C1686" s="23"/>
      <c r="D1686" s="24"/>
      <c r="E1686" s="23"/>
      <c r="F1686" s="15" t="str">
        <f aca="false">IF(B1686="","",IFERROR(INDEX(Configurações!$B$7:$B$30,MATCH(B1686,Configurações!$A$7:$A$30,0)),"?"))</f>
        <v/>
      </c>
      <c r="G1686" s="25" t="str">
        <f aca="false">IF(A1686="","",A1686-WEEKDAY(A1686,2)+1)</f>
        <v/>
      </c>
      <c r="H1686" s="26" t="str">
        <f aca="false">IF(A1686="","",DATE(YEAR(A1686),MONTH(A1686),1))</f>
        <v/>
      </c>
    </row>
    <row r="1687" customFormat="false" ht="15" hidden="false" customHeight="false" outlineLevel="0" collapsed="false">
      <c r="A1687" s="22"/>
      <c r="B1687" s="23"/>
      <c r="C1687" s="23"/>
      <c r="D1687" s="24"/>
      <c r="E1687" s="23"/>
      <c r="F1687" s="15" t="str">
        <f aca="false">IF(B1687="","",IFERROR(INDEX(Configurações!$B$7:$B$30,MATCH(B1687,Configurações!$A$7:$A$30,0)),"?"))</f>
        <v/>
      </c>
      <c r="G1687" s="25" t="str">
        <f aca="false">IF(A1687="","",A1687-WEEKDAY(A1687,2)+1)</f>
        <v/>
      </c>
      <c r="H1687" s="26" t="str">
        <f aca="false">IF(A1687="","",DATE(YEAR(A1687),MONTH(A1687),1))</f>
        <v/>
      </c>
    </row>
    <row r="1688" customFormat="false" ht="15" hidden="false" customHeight="false" outlineLevel="0" collapsed="false">
      <c r="A1688" s="22"/>
      <c r="B1688" s="23"/>
      <c r="C1688" s="23"/>
      <c r="D1688" s="24"/>
      <c r="E1688" s="23"/>
      <c r="F1688" s="15" t="str">
        <f aca="false">IF(B1688="","",IFERROR(INDEX(Configurações!$B$7:$B$30,MATCH(B1688,Configurações!$A$7:$A$30,0)),"?"))</f>
        <v/>
      </c>
      <c r="G1688" s="25" t="str">
        <f aca="false">IF(A1688="","",A1688-WEEKDAY(A1688,2)+1)</f>
        <v/>
      </c>
      <c r="H1688" s="26" t="str">
        <f aca="false">IF(A1688="","",DATE(YEAR(A1688),MONTH(A1688),1))</f>
        <v/>
      </c>
    </row>
    <row r="1689" customFormat="false" ht="15" hidden="false" customHeight="false" outlineLevel="0" collapsed="false">
      <c r="A1689" s="22"/>
      <c r="B1689" s="23"/>
      <c r="C1689" s="23"/>
      <c r="D1689" s="24"/>
      <c r="E1689" s="23"/>
      <c r="F1689" s="15" t="str">
        <f aca="false">IF(B1689="","",IFERROR(INDEX(Configurações!$B$7:$B$30,MATCH(B1689,Configurações!$A$7:$A$30,0)),"?"))</f>
        <v/>
      </c>
      <c r="G1689" s="25" t="str">
        <f aca="false">IF(A1689="","",A1689-WEEKDAY(A1689,2)+1)</f>
        <v/>
      </c>
      <c r="H1689" s="26" t="str">
        <f aca="false">IF(A1689="","",DATE(YEAR(A1689),MONTH(A1689),1))</f>
        <v/>
      </c>
    </row>
    <row r="1690" customFormat="false" ht="15" hidden="false" customHeight="false" outlineLevel="0" collapsed="false">
      <c r="A1690" s="22"/>
      <c r="B1690" s="23"/>
      <c r="C1690" s="23"/>
      <c r="D1690" s="24"/>
      <c r="E1690" s="23"/>
      <c r="F1690" s="15" t="str">
        <f aca="false">IF(B1690="","",IFERROR(INDEX(Configurações!$B$7:$B$30,MATCH(B1690,Configurações!$A$7:$A$30,0)),"?"))</f>
        <v/>
      </c>
      <c r="G1690" s="25" t="str">
        <f aca="false">IF(A1690="","",A1690-WEEKDAY(A1690,2)+1)</f>
        <v/>
      </c>
      <c r="H1690" s="26" t="str">
        <f aca="false">IF(A1690="","",DATE(YEAR(A1690),MONTH(A1690),1))</f>
        <v/>
      </c>
    </row>
    <row r="1691" customFormat="false" ht="15" hidden="false" customHeight="false" outlineLevel="0" collapsed="false">
      <c r="A1691" s="22"/>
      <c r="B1691" s="23"/>
      <c r="C1691" s="23"/>
      <c r="D1691" s="24"/>
      <c r="E1691" s="23"/>
      <c r="F1691" s="15" t="str">
        <f aca="false">IF(B1691="","",IFERROR(INDEX(Configurações!$B$7:$B$30,MATCH(B1691,Configurações!$A$7:$A$30,0)),"?"))</f>
        <v/>
      </c>
      <c r="G1691" s="25" t="str">
        <f aca="false">IF(A1691="","",A1691-WEEKDAY(A1691,2)+1)</f>
        <v/>
      </c>
      <c r="H1691" s="26" t="str">
        <f aca="false">IF(A1691="","",DATE(YEAR(A1691),MONTH(A1691),1))</f>
        <v/>
      </c>
    </row>
    <row r="1692" customFormat="false" ht="15" hidden="false" customHeight="false" outlineLevel="0" collapsed="false">
      <c r="A1692" s="22"/>
      <c r="B1692" s="23"/>
      <c r="C1692" s="23"/>
      <c r="D1692" s="24"/>
      <c r="E1692" s="23"/>
      <c r="F1692" s="15" t="str">
        <f aca="false">IF(B1692="","",IFERROR(INDEX(Configurações!$B$7:$B$30,MATCH(B1692,Configurações!$A$7:$A$30,0)),"?"))</f>
        <v/>
      </c>
      <c r="G1692" s="25" t="str">
        <f aca="false">IF(A1692="","",A1692-WEEKDAY(A1692,2)+1)</f>
        <v/>
      </c>
      <c r="H1692" s="26" t="str">
        <f aca="false">IF(A1692="","",DATE(YEAR(A1692),MONTH(A1692),1))</f>
        <v/>
      </c>
    </row>
    <row r="1693" customFormat="false" ht="15" hidden="false" customHeight="false" outlineLevel="0" collapsed="false">
      <c r="A1693" s="22"/>
      <c r="B1693" s="23"/>
      <c r="C1693" s="23"/>
      <c r="D1693" s="24"/>
      <c r="E1693" s="23"/>
      <c r="F1693" s="15" t="str">
        <f aca="false">IF(B1693="","",IFERROR(INDEX(Configurações!$B$7:$B$30,MATCH(B1693,Configurações!$A$7:$A$30,0)),"?"))</f>
        <v/>
      </c>
      <c r="G1693" s="25" t="str">
        <f aca="false">IF(A1693="","",A1693-WEEKDAY(A1693,2)+1)</f>
        <v/>
      </c>
      <c r="H1693" s="26" t="str">
        <f aca="false">IF(A1693="","",DATE(YEAR(A1693),MONTH(A1693),1))</f>
        <v/>
      </c>
    </row>
    <row r="1694" customFormat="false" ht="15" hidden="false" customHeight="false" outlineLevel="0" collapsed="false">
      <c r="A1694" s="22"/>
      <c r="B1694" s="23"/>
      <c r="C1694" s="23"/>
      <c r="D1694" s="24"/>
      <c r="E1694" s="23"/>
      <c r="F1694" s="15" t="str">
        <f aca="false">IF(B1694="","",IFERROR(INDEX(Configurações!$B$7:$B$30,MATCH(B1694,Configurações!$A$7:$A$30,0)),"?"))</f>
        <v/>
      </c>
      <c r="G1694" s="25" t="str">
        <f aca="false">IF(A1694="","",A1694-WEEKDAY(A1694,2)+1)</f>
        <v/>
      </c>
      <c r="H1694" s="26" t="str">
        <f aca="false">IF(A1694="","",DATE(YEAR(A1694),MONTH(A1694),1))</f>
        <v/>
      </c>
    </row>
    <row r="1695" customFormat="false" ht="15" hidden="false" customHeight="false" outlineLevel="0" collapsed="false">
      <c r="A1695" s="22"/>
      <c r="B1695" s="23"/>
      <c r="C1695" s="23"/>
      <c r="D1695" s="24"/>
      <c r="E1695" s="23"/>
      <c r="F1695" s="15" t="str">
        <f aca="false">IF(B1695="","",IFERROR(INDEX(Configurações!$B$7:$B$30,MATCH(B1695,Configurações!$A$7:$A$30,0)),"?"))</f>
        <v/>
      </c>
      <c r="G1695" s="25" t="str">
        <f aca="false">IF(A1695="","",A1695-WEEKDAY(A1695,2)+1)</f>
        <v/>
      </c>
      <c r="H1695" s="26" t="str">
        <f aca="false">IF(A1695="","",DATE(YEAR(A1695),MONTH(A1695),1))</f>
        <v/>
      </c>
    </row>
    <row r="1696" customFormat="false" ht="15" hidden="false" customHeight="false" outlineLevel="0" collapsed="false">
      <c r="A1696" s="22"/>
      <c r="B1696" s="23"/>
      <c r="C1696" s="23"/>
      <c r="D1696" s="24"/>
      <c r="E1696" s="23"/>
      <c r="F1696" s="15" t="str">
        <f aca="false">IF(B1696="","",IFERROR(INDEX(Configurações!$B$7:$B$30,MATCH(B1696,Configurações!$A$7:$A$30,0)),"?"))</f>
        <v/>
      </c>
      <c r="G1696" s="25" t="str">
        <f aca="false">IF(A1696="","",A1696-WEEKDAY(A1696,2)+1)</f>
        <v/>
      </c>
      <c r="H1696" s="26" t="str">
        <f aca="false">IF(A1696="","",DATE(YEAR(A1696),MONTH(A1696),1))</f>
        <v/>
      </c>
    </row>
    <row r="1697" customFormat="false" ht="15" hidden="false" customHeight="false" outlineLevel="0" collapsed="false">
      <c r="A1697" s="22"/>
      <c r="B1697" s="23"/>
      <c r="C1697" s="23"/>
      <c r="D1697" s="24"/>
      <c r="E1697" s="23"/>
      <c r="F1697" s="15" t="str">
        <f aca="false">IF(B1697="","",IFERROR(INDEX(Configurações!$B$7:$B$30,MATCH(B1697,Configurações!$A$7:$A$30,0)),"?"))</f>
        <v/>
      </c>
      <c r="G1697" s="25" t="str">
        <f aca="false">IF(A1697="","",A1697-WEEKDAY(A1697,2)+1)</f>
        <v/>
      </c>
      <c r="H1697" s="26" t="str">
        <f aca="false">IF(A1697="","",DATE(YEAR(A1697),MONTH(A1697),1))</f>
        <v/>
      </c>
    </row>
    <row r="1698" customFormat="false" ht="15" hidden="false" customHeight="false" outlineLevel="0" collapsed="false">
      <c r="A1698" s="22"/>
      <c r="B1698" s="23"/>
      <c r="C1698" s="23"/>
      <c r="D1698" s="24"/>
      <c r="E1698" s="23"/>
      <c r="F1698" s="15" t="str">
        <f aca="false">IF(B1698="","",IFERROR(INDEX(Configurações!$B$7:$B$30,MATCH(B1698,Configurações!$A$7:$A$30,0)),"?"))</f>
        <v/>
      </c>
      <c r="G1698" s="25" t="str">
        <f aca="false">IF(A1698="","",A1698-WEEKDAY(A1698,2)+1)</f>
        <v/>
      </c>
      <c r="H1698" s="26" t="str">
        <f aca="false">IF(A1698="","",DATE(YEAR(A1698),MONTH(A1698),1))</f>
        <v/>
      </c>
    </row>
    <row r="1699" customFormat="false" ht="15" hidden="false" customHeight="false" outlineLevel="0" collapsed="false">
      <c r="A1699" s="22"/>
      <c r="B1699" s="23"/>
      <c r="C1699" s="23"/>
      <c r="D1699" s="24"/>
      <c r="E1699" s="23"/>
      <c r="F1699" s="15" t="str">
        <f aca="false">IF(B1699="","",IFERROR(INDEX(Configurações!$B$7:$B$30,MATCH(B1699,Configurações!$A$7:$A$30,0)),"?"))</f>
        <v/>
      </c>
      <c r="G1699" s="25" t="str">
        <f aca="false">IF(A1699="","",A1699-WEEKDAY(A1699,2)+1)</f>
        <v/>
      </c>
      <c r="H1699" s="26" t="str">
        <f aca="false">IF(A1699="","",DATE(YEAR(A1699),MONTH(A1699),1))</f>
        <v/>
      </c>
    </row>
    <row r="1700" customFormat="false" ht="15" hidden="false" customHeight="false" outlineLevel="0" collapsed="false">
      <c r="A1700" s="22"/>
      <c r="B1700" s="23"/>
      <c r="C1700" s="23"/>
      <c r="D1700" s="24"/>
      <c r="E1700" s="23"/>
      <c r="F1700" s="15" t="str">
        <f aca="false">IF(B1700="","",IFERROR(INDEX(Configurações!$B$7:$B$30,MATCH(B1700,Configurações!$A$7:$A$30,0)),"?"))</f>
        <v/>
      </c>
      <c r="G1700" s="25" t="str">
        <f aca="false">IF(A1700="","",A1700-WEEKDAY(A1700,2)+1)</f>
        <v/>
      </c>
      <c r="H1700" s="26" t="str">
        <f aca="false">IF(A1700="","",DATE(YEAR(A1700),MONTH(A1700),1))</f>
        <v/>
      </c>
    </row>
    <row r="1701" customFormat="false" ht="15" hidden="false" customHeight="false" outlineLevel="0" collapsed="false">
      <c r="A1701" s="22"/>
      <c r="B1701" s="23"/>
      <c r="C1701" s="23"/>
      <c r="D1701" s="24"/>
      <c r="E1701" s="23"/>
      <c r="F1701" s="15" t="str">
        <f aca="false">IF(B1701="","",IFERROR(INDEX(Configurações!$B$7:$B$30,MATCH(B1701,Configurações!$A$7:$A$30,0)),"?"))</f>
        <v/>
      </c>
      <c r="G1701" s="25" t="str">
        <f aca="false">IF(A1701="","",A1701-WEEKDAY(A1701,2)+1)</f>
        <v/>
      </c>
      <c r="H1701" s="26" t="str">
        <f aca="false">IF(A1701="","",DATE(YEAR(A1701),MONTH(A1701),1))</f>
        <v/>
      </c>
    </row>
    <row r="1702" customFormat="false" ht="15" hidden="false" customHeight="false" outlineLevel="0" collapsed="false">
      <c r="A1702" s="22"/>
      <c r="B1702" s="23"/>
      <c r="C1702" s="23"/>
      <c r="D1702" s="24"/>
      <c r="E1702" s="23"/>
      <c r="F1702" s="15" t="str">
        <f aca="false">IF(B1702="","",IFERROR(INDEX(Configurações!$B$7:$B$30,MATCH(B1702,Configurações!$A$7:$A$30,0)),"?"))</f>
        <v/>
      </c>
      <c r="G1702" s="25" t="str">
        <f aca="false">IF(A1702="","",A1702-WEEKDAY(A1702,2)+1)</f>
        <v/>
      </c>
      <c r="H1702" s="26" t="str">
        <f aca="false">IF(A1702="","",DATE(YEAR(A1702),MONTH(A1702),1))</f>
        <v/>
      </c>
    </row>
    <row r="1703" customFormat="false" ht="15" hidden="false" customHeight="false" outlineLevel="0" collapsed="false">
      <c r="A1703" s="22"/>
      <c r="B1703" s="23"/>
      <c r="C1703" s="23"/>
      <c r="D1703" s="24"/>
      <c r="E1703" s="23"/>
      <c r="F1703" s="15" t="str">
        <f aca="false">IF(B1703="","",IFERROR(INDEX(Configurações!$B$7:$B$30,MATCH(B1703,Configurações!$A$7:$A$30,0)),"?"))</f>
        <v/>
      </c>
      <c r="G1703" s="25" t="str">
        <f aca="false">IF(A1703="","",A1703-WEEKDAY(A1703,2)+1)</f>
        <v/>
      </c>
      <c r="H1703" s="26" t="str">
        <f aca="false">IF(A1703="","",DATE(YEAR(A1703),MONTH(A1703),1))</f>
        <v/>
      </c>
    </row>
    <row r="1704" customFormat="false" ht="15" hidden="false" customHeight="false" outlineLevel="0" collapsed="false">
      <c r="A1704" s="22"/>
      <c r="B1704" s="23"/>
      <c r="C1704" s="23"/>
      <c r="D1704" s="24"/>
      <c r="E1704" s="23"/>
      <c r="F1704" s="15" t="str">
        <f aca="false">IF(B1704="","",IFERROR(INDEX(Configurações!$B$7:$B$30,MATCH(B1704,Configurações!$A$7:$A$30,0)),"?"))</f>
        <v/>
      </c>
      <c r="G1704" s="25" t="str">
        <f aca="false">IF(A1704="","",A1704-WEEKDAY(A1704,2)+1)</f>
        <v/>
      </c>
      <c r="H1704" s="26" t="str">
        <f aca="false">IF(A1704="","",DATE(YEAR(A1704),MONTH(A1704),1))</f>
        <v/>
      </c>
    </row>
    <row r="1705" customFormat="false" ht="15" hidden="false" customHeight="false" outlineLevel="0" collapsed="false">
      <c r="A1705" s="22"/>
      <c r="B1705" s="23"/>
      <c r="C1705" s="23"/>
      <c r="D1705" s="24"/>
      <c r="E1705" s="23"/>
      <c r="F1705" s="15" t="str">
        <f aca="false">IF(B1705="","",IFERROR(INDEX(Configurações!$B$7:$B$30,MATCH(B1705,Configurações!$A$7:$A$30,0)),"?"))</f>
        <v/>
      </c>
      <c r="G1705" s="25" t="str">
        <f aca="false">IF(A1705="","",A1705-WEEKDAY(A1705,2)+1)</f>
        <v/>
      </c>
      <c r="H1705" s="26" t="str">
        <f aca="false">IF(A1705="","",DATE(YEAR(A1705),MONTH(A1705),1))</f>
        <v/>
      </c>
    </row>
    <row r="1706" customFormat="false" ht="15" hidden="false" customHeight="false" outlineLevel="0" collapsed="false">
      <c r="A1706" s="22"/>
      <c r="B1706" s="23"/>
      <c r="C1706" s="23"/>
      <c r="D1706" s="24"/>
      <c r="E1706" s="23"/>
      <c r="F1706" s="15" t="str">
        <f aca="false">IF(B1706="","",IFERROR(INDEX(Configurações!$B$7:$B$30,MATCH(B1706,Configurações!$A$7:$A$30,0)),"?"))</f>
        <v/>
      </c>
      <c r="G1706" s="25" t="str">
        <f aca="false">IF(A1706="","",A1706-WEEKDAY(A1706,2)+1)</f>
        <v/>
      </c>
      <c r="H1706" s="26" t="str">
        <f aca="false">IF(A1706="","",DATE(YEAR(A1706),MONTH(A1706),1))</f>
        <v/>
      </c>
    </row>
    <row r="1707" customFormat="false" ht="15" hidden="false" customHeight="false" outlineLevel="0" collapsed="false">
      <c r="A1707" s="22"/>
      <c r="B1707" s="23"/>
      <c r="C1707" s="23"/>
      <c r="D1707" s="24"/>
      <c r="E1707" s="23"/>
      <c r="F1707" s="15" t="str">
        <f aca="false">IF(B1707="","",IFERROR(INDEX(Configurações!$B$7:$B$30,MATCH(B1707,Configurações!$A$7:$A$30,0)),"?"))</f>
        <v/>
      </c>
      <c r="G1707" s="25" t="str">
        <f aca="false">IF(A1707="","",A1707-WEEKDAY(A1707,2)+1)</f>
        <v/>
      </c>
      <c r="H1707" s="26" t="str">
        <f aca="false">IF(A1707="","",DATE(YEAR(A1707),MONTH(A1707),1))</f>
        <v/>
      </c>
    </row>
    <row r="1708" customFormat="false" ht="15" hidden="false" customHeight="false" outlineLevel="0" collapsed="false">
      <c r="A1708" s="22"/>
      <c r="B1708" s="23"/>
      <c r="C1708" s="23"/>
      <c r="D1708" s="24"/>
      <c r="E1708" s="23"/>
      <c r="F1708" s="15" t="str">
        <f aca="false">IF(B1708="","",IFERROR(INDEX(Configurações!$B$7:$B$30,MATCH(B1708,Configurações!$A$7:$A$30,0)),"?"))</f>
        <v/>
      </c>
      <c r="G1708" s="25" t="str">
        <f aca="false">IF(A1708="","",A1708-WEEKDAY(A1708,2)+1)</f>
        <v/>
      </c>
      <c r="H1708" s="26" t="str">
        <f aca="false">IF(A1708="","",DATE(YEAR(A1708),MONTH(A1708),1))</f>
        <v/>
      </c>
    </row>
    <row r="1709" customFormat="false" ht="15" hidden="false" customHeight="false" outlineLevel="0" collapsed="false">
      <c r="A1709" s="22"/>
      <c r="B1709" s="23"/>
      <c r="C1709" s="23"/>
      <c r="D1709" s="24"/>
      <c r="E1709" s="23"/>
      <c r="F1709" s="15" t="str">
        <f aca="false">IF(B1709="","",IFERROR(INDEX(Configurações!$B$7:$B$30,MATCH(B1709,Configurações!$A$7:$A$30,0)),"?"))</f>
        <v/>
      </c>
      <c r="G1709" s="25" t="str">
        <f aca="false">IF(A1709="","",A1709-WEEKDAY(A1709,2)+1)</f>
        <v/>
      </c>
      <c r="H1709" s="26" t="str">
        <f aca="false">IF(A1709="","",DATE(YEAR(A1709),MONTH(A1709),1))</f>
        <v/>
      </c>
    </row>
    <row r="1710" customFormat="false" ht="15" hidden="false" customHeight="false" outlineLevel="0" collapsed="false">
      <c r="A1710" s="22"/>
      <c r="B1710" s="23"/>
      <c r="C1710" s="23"/>
      <c r="D1710" s="24"/>
      <c r="E1710" s="23"/>
      <c r="F1710" s="15" t="str">
        <f aca="false">IF(B1710="","",IFERROR(INDEX(Configurações!$B$7:$B$30,MATCH(B1710,Configurações!$A$7:$A$30,0)),"?"))</f>
        <v/>
      </c>
      <c r="G1710" s="25" t="str">
        <f aca="false">IF(A1710="","",A1710-WEEKDAY(A1710,2)+1)</f>
        <v/>
      </c>
      <c r="H1710" s="26" t="str">
        <f aca="false">IF(A1710="","",DATE(YEAR(A1710),MONTH(A1710),1))</f>
        <v/>
      </c>
    </row>
    <row r="1711" customFormat="false" ht="15" hidden="false" customHeight="false" outlineLevel="0" collapsed="false">
      <c r="A1711" s="22"/>
      <c r="B1711" s="23"/>
      <c r="C1711" s="23"/>
      <c r="D1711" s="24"/>
      <c r="E1711" s="23"/>
      <c r="F1711" s="15" t="str">
        <f aca="false">IF(B1711="","",IFERROR(INDEX(Configurações!$B$7:$B$30,MATCH(B1711,Configurações!$A$7:$A$30,0)),"?"))</f>
        <v/>
      </c>
      <c r="G1711" s="25" t="str">
        <f aca="false">IF(A1711="","",A1711-WEEKDAY(A1711,2)+1)</f>
        <v/>
      </c>
      <c r="H1711" s="26" t="str">
        <f aca="false">IF(A1711="","",DATE(YEAR(A1711),MONTH(A1711),1))</f>
        <v/>
      </c>
    </row>
    <row r="1712" customFormat="false" ht="15" hidden="false" customHeight="false" outlineLevel="0" collapsed="false">
      <c r="A1712" s="22"/>
      <c r="B1712" s="23"/>
      <c r="C1712" s="23"/>
      <c r="D1712" s="24"/>
      <c r="E1712" s="23"/>
      <c r="F1712" s="15" t="str">
        <f aca="false">IF(B1712="","",IFERROR(INDEX(Configurações!$B$7:$B$30,MATCH(B1712,Configurações!$A$7:$A$30,0)),"?"))</f>
        <v/>
      </c>
      <c r="G1712" s="25" t="str">
        <f aca="false">IF(A1712="","",A1712-WEEKDAY(A1712,2)+1)</f>
        <v/>
      </c>
      <c r="H1712" s="26" t="str">
        <f aca="false">IF(A1712="","",DATE(YEAR(A1712),MONTH(A1712),1))</f>
        <v/>
      </c>
    </row>
    <row r="1713" customFormat="false" ht="15" hidden="false" customHeight="false" outlineLevel="0" collapsed="false">
      <c r="A1713" s="22"/>
      <c r="B1713" s="23"/>
      <c r="C1713" s="23"/>
      <c r="D1713" s="24"/>
      <c r="E1713" s="23"/>
      <c r="F1713" s="15" t="str">
        <f aca="false">IF(B1713="","",IFERROR(INDEX(Configurações!$B$7:$B$30,MATCH(B1713,Configurações!$A$7:$A$30,0)),"?"))</f>
        <v/>
      </c>
      <c r="G1713" s="25" t="str">
        <f aca="false">IF(A1713="","",A1713-WEEKDAY(A1713,2)+1)</f>
        <v/>
      </c>
      <c r="H1713" s="26" t="str">
        <f aca="false">IF(A1713="","",DATE(YEAR(A1713),MONTH(A1713),1))</f>
        <v/>
      </c>
    </row>
    <row r="1714" customFormat="false" ht="15" hidden="false" customHeight="false" outlineLevel="0" collapsed="false">
      <c r="A1714" s="22"/>
      <c r="B1714" s="23"/>
      <c r="C1714" s="23"/>
      <c r="D1714" s="24"/>
      <c r="E1714" s="23"/>
      <c r="F1714" s="15" t="str">
        <f aca="false">IF(B1714="","",IFERROR(INDEX(Configurações!$B$7:$B$30,MATCH(B1714,Configurações!$A$7:$A$30,0)),"?"))</f>
        <v/>
      </c>
      <c r="G1714" s="25" t="str">
        <f aca="false">IF(A1714="","",A1714-WEEKDAY(A1714,2)+1)</f>
        <v/>
      </c>
      <c r="H1714" s="26" t="str">
        <f aca="false">IF(A1714="","",DATE(YEAR(A1714),MONTH(A1714),1))</f>
        <v/>
      </c>
    </row>
    <row r="1715" customFormat="false" ht="15" hidden="false" customHeight="false" outlineLevel="0" collapsed="false">
      <c r="A1715" s="22"/>
      <c r="B1715" s="23"/>
      <c r="C1715" s="23"/>
      <c r="D1715" s="24"/>
      <c r="E1715" s="23"/>
      <c r="F1715" s="15" t="str">
        <f aca="false">IF(B1715="","",IFERROR(INDEX(Configurações!$B$7:$B$30,MATCH(B1715,Configurações!$A$7:$A$30,0)),"?"))</f>
        <v/>
      </c>
      <c r="G1715" s="25" t="str">
        <f aca="false">IF(A1715="","",A1715-WEEKDAY(A1715,2)+1)</f>
        <v/>
      </c>
      <c r="H1715" s="26" t="str">
        <f aca="false">IF(A1715="","",DATE(YEAR(A1715),MONTH(A1715),1))</f>
        <v/>
      </c>
    </row>
    <row r="1716" customFormat="false" ht="15" hidden="false" customHeight="false" outlineLevel="0" collapsed="false">
      <c r="A1716" s="22"/>
      <c r="B1716" s="23"/>
      <c r="C1716" s="23"/>
      <c r="D1716" s="24"/>
      <c r="E1716" s="23"/>
      <c r="F1716" s="15" t="str">
        <f aca="false">IF(B1716="","",IFERROR(INDEX(Configurações!$B$7:$B$30,MATCH(B1716,Configurações!$A$7:$A$30,0)),"?"))</f>
        <v/>
      </c>
      <c r="G1716" s="25" t="str">
        <f aca="false">IF(A1716="","",A1716-WEEKDAY(A1716,2)+1)</f>
        <v/>
      </c>
      <c r="H1716" s="26" t="str">
        <f aca="false">IF(A1716="","",DATE(YEAR(A1716),MONTH(A1716),1))</f>
        <v/>
      </c>
    </row>
    <row r="1717" customFormat="false" ht="15" hidden="false" customHeight="false" outlineLevel="0" collapsed="false">
      <c r="A1717" s="22"/>
      <c r="B1717" s="23"/>
      <c r="C1717" s="23"/>
      <c r="D1717" s="24"/>
      <c r="E1717" s="23"/>
      <c r="F1717" s="15" t="str">
        <f aca="false">IF(B1717="","",IFERROR(INDEX(Configurações!$B$7:$B$30,MATCH(B1717,Configurações!$A$7:$A$30,0)),"?"))</f>
        <v/>
      </c>
      <c r="G1717" s="25" t="str">
        <f aca="false">IF(A1717="","",A1717-WEEKDAY(A1717,2)+1)</f>
        <v/>
      </c>
      <c r="H1717" s="26" t="str">
        <f aca="false">IF(A1717="","",DATE(YEAR(A1717),MONTH(A1717),1))</f>
        <v/>
      </c>
    </row>
    <row r="1718" customFormat="false" ht="15" hidden="false" customHeight="false" outlineLevel="0" collapsed="false">
      <c r="A1718" s="22"/>
      <c r="B1718" s="23"/>
      <c r="C1718" s="23"/>
      <c r="D1718" s="24"/>
      <c r="E1718" s="23"/>
      <c r="F1718" s="15" t="str">
        <f aca="false">IF(B1718="","",IFERROR(INDEX(Configurações!$B$7:$B$30,MATCH(B1718,Configurações!$A$7:$A$30,0)),"?"))</f>
        <v/>
      </c>
      <c r="G1718" s="25" t="str">
        <f aca="false">IF(A1718="","",A1718-WEEKDAY(A1718,2)+1)</f>
        <v/>
      </c>
      <c r="H1718" s="26" t="str">
        <f aca="false">IF(A1718="","",DATE(YEAR(A1718),MONTH(A1718),1))</f>
        <v/>
      </c>
    </row>
    <row r="1719" customFormat="false" ht="15" hidden="false" customHeight="false" outlineLevel="0" collapsed="false">
      <c r="A1719" s="22"/>
      <c r="B1719" s="23"/>
      <c r="C1719" s="23"/>
      <c r="D1719" s="24"/>
      <c r="E1719" s="23"/>
      <c r="F1719" s="15" t="str">
        <f aca="false">IF(B1719="","",IFERROR(INDEX(Configurações!$B$7:$B$30,MATCH(B1719,Configurações!$A$7:$A$30,0)),"?"))</f>
        <v/>
      </c>
      <c r="G1719" s="25" t="str">
        <f aca="false">IF(A1719="","",A1719-WEEKDAY(A1719,2)+1)</f>
        <v/>
      </c>
      <c r="H1719" s="26" t="str">
        <f aca="false">IF(A1719="","",DATE(YEAR(A1719),MONTH(A1719),1))</f>
        <v/>
      </c>
    </row>
    <row r="1720" customFormat="false" ht="15" hidden="false" customHeight="false" outlineLevel="0" collapsed="false">
      <c r="A1720" s="22"/>
      <c r="B1720" s="23"/>
      <c r="C1720" s="23"/>
      <c r="D1720" s="24"/>
      <c r="E1720" s="23"/>
      <c r="F1720" s="15" t="str">
        <f aca="false">IF(B1720="","",IFERROR(INDEX(Configurações!$B$7:$B$30,MATCH(B1720,Configurações!$A$7:$A$30,0)),"?"))</f>
        <v/>
      </c>
      <c r="G1720" s="25" t="str">
        <f aca="false">IF(A1720="","",A1720-WEEKDAY(A1720,2)+1)</f>
        <v/>
      </c>
      <c r="H1720" s="26" t="str">
        <f aca="false">IF(A1720="","",DATE(YEAR(A1720),MONTH(A1720),1))</f>
        <v/>
      </c>
    </row>
    <row r="1721" customFormat="false" ht="15" hidden="false" customHeight="false" outlineLevel="0" collapsed="false">
      <c r="A1721" s="22"/>
      <c r="B1721" s="23"/>
      <c r="C1721" s="23"/>
      <c r="D1721" s="24"/>
      <c r="E1721" s="23"/>
      <c r="F1721" s="15" t="str">
        <f aca="false">IF(B1721="","",IFERROR(INDEX(Configurações!$B$7:$B$30,MATCH(B1721,Configurações!$A$7:$A$30,0)),"?"))</f>
        <v/>
      </c>
      <c r="G1721" s="25" t="str">
        <f aca="false">IF(A1721="","",A1721-WEEKDAY(A1721,2)+1)</f>
        <v/>
      </c>
      <c r="H1721" s="26" t="str">
        <f aca="false">IF(A1721="","",DATE(YEAR(A1721),MONTH(A1721),1))</f>
        <v/>
      </c>
    </row>
    <row r="1722" customFormat="false" ht="15" hidden="false" customHeight="false" outlineLevel="0" collapsed="false">
      <c r="A1722" s="22"/>
      <c r="B1722" s="23"/>
      <c r="C1722" s="23"/>
      <c r="D1722" s="24"/>
      <c r="E1722" s="23"/>
      <c r="F1722" s="15" t="str">
        <f aca="false">IF(B1722="","",IFERROR(INDEX(Configurações!$B$7:$B$30,MATCH(B1722,Configurações!$A$7:$A$30,0)),"?"))</f>
        <v/>
      </c>
      <c r="G1722" s="25" t="str">
        <f aca="false">IF(A1722="","",A1722-WEEKDAY(A1722,2)+1)</f>
        <v/>
      </c>
      <c r="H1722" s="26" t="str">
        <f aca="false">IF(A1722="","",DATE(YEAR(A1722),MONTH(A1722),1))</f>
        <v/>
      </c>
    </row>
    <row r="1723" customFormat="false" ht="15" hidden="false" customHeight="false" outlineLevel="0" collapsed="false">
      <c r="A1723" s="22"/>
      <c r="B1723" s="23"/>
      <c r="C1723" s="23"/>
      <c r="D1723" s="24"/>
      <c r="E1723" s="23"/>
      <c r="F1723" s="15" t="str">
        <f aca="false">IF(B1723="","",IFERROR(INDEX(Configurações!$B$7:$B$30,MATCH(B1723,Configurações!$A$7:$A$30,0)),"?"))</f>
        <v/>
      </c>
      <c r="G1723" s="25" t="str">
        <f aca="false">IF(A1723="","",A1723-WEEKDAY(A1723,2)+1)</f>
        <v/>
      </c>
      <c r="H1723" s="26" t="str">
        <f aca="false">IF(A1723="","",DATE(YEAR(A1723),MONTH(A1723),1))</f>
        <v/>
      </c>
    </row>
    <row r="1724" customFormat="false" ht="15" hidden="false" customHeight="false" outlineLevel="0" collapsed="false">
      <c r="A1724" s="22"/>
      <c r="B1724" s="23"/>
      <c r="C1724" s="23"/>
      <c r="D1724" s="24"/>
      <c r="E1724" s="23"/>
      <c r="F1724" s="15" t="str">
        <f aca="false">IF(B1724="","",IFERROR(INDEX(Configurações!$B$7:$B$30,MATCH(B1724,Configurações!$A$7:$A$30,0)),"?"))</f>
        <v/>
      </c>
      <c r="G1724" s="25" t="str">
        <f aca="false">IF(A1724="","",A1724-WEEKDAY(A1724,2)+1)</f>
        <v/>
      </c>
      <c r="H1724" s="26" t="str">
        <f aca="false">IF(A1724="","",DATE(YEAR(A1724),MONTH(A1724),1))</f>
        <v/>
      </c>
    </row>
    <row r="1725" customFormat="false" ht="15" hidden="false" customHeight="false" outlineLevel="0" collapsed="false">
      <c r="A1725" s="22"/>
      <c r="B1725" s="23"/>
      <c r="C1725" s="23"/>
      <c r="D1725" s="24"/>
      <c r="E1725" s="23"/>
      <c r="F1725" s="15" t="str">
        <f aca="false">IF(B1725="","",IFERROR(INDEX(Configurações!$B$7:$B$30,MATCH(B1725,Configurações!$A$7:$A$30,0)),"?"))</f>
        <v/>
      </c>
      <c r="G1725" s="25" t="str">
        <f aca="false">IF(A1725="","",A1725-WEEKDAY(A1725,2)+1)</f>
        <v/>
      </c>
      <c r="H1725" s="26" t="str">
        <f aca="false">IF(A1725="","",DATE(YEAR(A1725),MONTH(A1725),1))</f>
        <v/>
      </c>
    </row>
    <row r="1726" customFormat="false" ht="15" hidden="false" customHeight="false" outlineLevel="0" collapsed="false">
      <c r="A1726" s="22"/>
      <c r="B1726" s="23"/>
      <c r="C1726" s="23"/>
      <c r="D1726" s="24"/>
      <c r="E1726" s="23"/>
      <c r="F1726" s="15" t="str">
        <f aca="false">IF(B1726="","",IFERROR(INDEX(Configurações!$B$7:$B$30,MATCH(B1726,Configurações!$A$7:$A$30,0)),"?"))</f>
        <v/>
      </c>
      <c r="G1726" s="25" t="str">
        <f aca="false">IF(A1726="","",A1726-WEEKDAY(A1726,2)+1)</f>
        <v/>
      </c>
      <c r="H1726" s="26" t="str">
        <f aca="false">IF(A1726="","",DATE(YEAR(A1726),MONTH(A1726),1))</f>
        <v/>
      </c>
    </row>
    <row r="1727" customFormat="false" ht="15" hidden="false" customHeight="false" outlineLevel="0" collapsed="false">
      <c r="A1727" s="22"/>
      <c r="B1727" s="23"/>
      <c r="C1727" s="23"/>
      <c r="D1727" s="24"/>
      <c r="E1727" s="23"/>
      <c r="F1727" s="15" t="str">
        <f aca="false">IF(B1727="","",IFERROR(INDEX(Configurações!$B$7:$B$30,MATCH(B1727,Configurações!$A$7:$A$30,0)),"?"))</f>
        <v/>
      </c>
      <c r="G1727" s="25" t="str">
        <f aca="false">IF(A1727="","",A1727-WEEKDAY(A1727,2)+1)</f>
        <v/>
      </c>
      <c r="H1727" s="26" t="str">
        <f aca="false">IF(A1727="","",DATE(YEAR(A1727),MONTH(A1727),1))</f>
        <v/>
      </c>
    </row>
    <row r="1728" customFormat="false" ht="15" hidden="false" customHeight="false" outlineLevel="0" collapsed="false">
      <c r="A1728" s="22"/>
      <c r="B1728" s="23"/>
      <c r="C1728" s="23"/>
      <c r="D1728" s="24"/>
      <c r="E1728" s="23"/>
      <c r="F1728" s="15" t="str">
        <f aca="false">IF(B1728="","",IFERROR(INDEX(Configurações!$B$7:$B$30,MATCH(B1728,Configurações!$A$7:$A$30,0)),"?"))</f>
        <v/>
      </c>
      <c r="G1728" s="25" t="str">
        <f aca="false">IF(A1728="","",A1728-WEEKDAY(A1728,2)+1)</f>
        <v/>
      </c>
      <c r="H1728" s="26" t="str">
        <f aca="false">IF(A1728="","",DATE(YEAR(A1728),MONTH(A1728),1))</f>
        <v/>
      </c>
    </row>
    <row r="1729" customFormat="false" ht="15" hidden="false" customHeight="false" outlineLevel="0" collapsed="false">
      <c r="A1729" s="22"/>
      <c r="B1729" s="23"/>
      <c r="C1729" s="23"/>
      <c r="D1729" s="24"/>
      <c r="E1729" s="23"/>
      <c r="F1729" s="15" t="str">
        <f aca="false">IF(B1729="","",IFERROR(INDEX(Configurações!$B$7:$B$30,MATCH(B1729,Configurações!$A$7:$A$30,0)),"?"))</f>
        <v/>
      </c>
      <c r="G1729" s="25" t="str">
        <f aca="false">IF(A1729="","",A1729-WEEKDAY(A1729,2)+1)</f>
        <v/>
      </c>
      <c r="H1729" s="26" t="str">
        <f aca="false">IF(A1729="","",DATE(YEAR(A1729),MONTH(A1729),1))</f>
        <v/>
      </c>
    </row>
    <row r="1730" customFormat="false" ht="15" hidden="false" customHeight="false" outlineLevel="0" collapsed="false">
      <c r="A1730" s="22"/>
      <c r="B1730" s="23"/>
      <c r="C1730" s="23"/>
      <c r="D1730" s="24"/>
      <c r="E1730" s="23"/>
      <c r="F1730" s="15" t="str">
        <f aca="false">IF(B1730="","",IFERROR(INDEX(Configurações!$B$7:$B$30,MATCH(B1730,Configurações!$A$7:$A$30,0)),"?"))</f>
        <v/>
      </c>
      <c r="G1730" s="25" t="str">
        <f aca="false">IF(A1730="","",A1730-WEEKDAY(A1730,2)+1)</f>
        <v/>
      </c>
      <c r="H1730" s="26" t="str">
        <f aca="false">IF(A1730="","",DATE(YEAR(A1730),MONTH(A1730),1))</f>
        <v/>
      </c>
    </row>
    <row r="1731" customFormat="false" ht="15" hidden="false" customHeight="false" outlineLevel="0" collapsed="false">
      <c r="A1731" s="22"/>
      <c r="B1731" s="23"/>
      <c r="C1731" s="23"/>
      <c r="D1731" s="24"/>
      <c r="E1731" s="23"/>
      <c r="F1731" s="15" t="str">
        <f aca="false">IF(B1731="","",IFERROR(INDEX(Configurações!$B$7:$B$30,MATCH(B1731,Configurações!$A$7:$A$30,0)),"?"))</f>
        <v/>
      </c>
      <c r="G1731" s="25" t="str">
        <f aca="false">IF(A1731="","",A1731-WEEKDAY(A1731,2)+1)</f>
        <v/>
      </c>
      <c r="H1731" s="26" t="str">
        <f aca="false">IF(A1731="","",DATE(YEAR(A1731),MONTH(A1731),1))</f>
        <v/>
      </c>
    </row>
    <row r="1732" customFormat="false" ht="15" hidden="false" customHeight="false" outlineLevel="0" collapsed="false">
      <c r="A1732" s="22"/>
      <c r="B1732" s="23"/>
      <c r="C1732" s="23"/>
      <c r="D1732" s="24"/>
      <c r="E1732" s="23"/>
      <c r="F1732" s="15" t="str">
        <f aca="false">IF(B1732="","",IFERROR(INDEX(Configurações!$B$7:$B$30,MATCH(B1732,Configurações!$A$7:$A$30,0)),"?"))</f>
        <v/>
      </c>
      <c r="G1732" s="25" t="str">
        <f aca="false">IF(A1732="","",A1732-WEEKDAY(A1732,2)+1)</f>
        <v/>
      </c>
      <c r="H1732" s="26" t="str">
        <f aca="false">IF(A1732="","",DATE(YEAR(A1732),MONTH(A1732),1))</f>
        <v/>
      </c>
    </row>
    <row r="1733" customFormat="false" ht="15" hidden="false" customHeight="false" outlineLevel="0" collapsed="false">
      <c r="A1733" s="22"/>
      <c r="B1733" s="23"/>
      <c r="C1733" s="23"/>
      <c r="D1733" s="24"/>
      <c r="E1733" s="23"/>
      <c r="F1733" s="15" t="str">
        <f aca="false">IF(B1733="","",IFERROR(INDEX(Configurações!$B$7:$B$30,MATCH(B1733,Configurações!$A$7:$A$30,0)),"?"))</f>
        <v/>
      </c>
      <c r="G1733" s="25" t="str">
        <f aca="false">IF(A1733="","",A1733-WEEKDAY(A1733,2)+1)</f>
        <v/>
      </c>
      <c r="H1733" s="26" t="str">
        <f aca="false">IF(A1733="","",DATE(YEAR(A1733),MONTH(A1733),1))</f>
        <v/>
      </c>
    </row>
    <row r="1734" customFormat="false" ht="15" hidden="false" customHeight="false" outlineLevel="0" collapsed="false">
      <c r="A1734" s="22"/>
      <c r="B1734" s="23"/>
      <c r="C1734" s="23"/>
      <c r="D1734" s="24"/>
      <c r="E1734" s="23"/>
      <c r="F1734" s="15" t="str">
        <f aca="false">IF(B1734="","",IFERROR(INDEX(Configurações!$B$7:$B$30,MATCH(B1734,Configurações!$A$7:$A$30,0)),"?"))</f>
        <v/>
      </c>
      <c r="G1734" s="25" t="str">
        <f aca="false">IF(A1734="","",A1734-WEEKDAY(A1734,2)+1)</f>
        <v/>
      </c>
      <c r="H1734" s="26" t="str">
        <f aca="false">IF(A1734="","",DATE(YEAR(A1734),MONTH(A1734),1))</f>
        <v/>
      </c>
    </row>
    <row r="1735" customFormat="false" ht="15" hidden="false" customHeight="false" outlineLevel="0" collapsed="false">
      <c r="A1735" s="22"/>
      <c r="B1735" s="23"/>
      <c r="C1735" s="23"/>
      <c r="D1735" s="24"/>
      <c r="E1735" s="23"/>
      <c r="F1735" s="15" t="str">
        <f aca="false">IF(B1735="","",IFERROR(INDEX(Configurações!$B$7:$B$30,MATCH(B1735,Configurações!$A$7:$A$30,0)),"?"))</f>
        <v/>
      </c>
      <c r="G1735" s="25" t="str">
        <f aca="false">IF(A1735="","",A1735-WEEKDAY(A1735,2)+1)</f>
        <v/>
      </c>
      <c r="H1735" s="26" t="str">
        <f aca="false">IF(A1735="","",DATE(YEAR(A1735),MONTH(A1735),1))</f>
        <v/>
      </c>
    </row>
    <row r="1736" customFormat="false" ht="15" hidden="false" customHeight="false" outlineLevel="0" collapsed="false">
      <c r="A1736" s="22"/>
      <c r="B1736" s="23"/>
      <c r="C1736" s="23"/>
      <c r="D1736" s="24"/>
      <c r="E1736" s="23"/>
      <c r="F1736" s="15" t="str">
        <f aca="false">IF(B1736="","",IFERROR(INDEX(Configurações!$B$7:$B$30,MATCH(B1736,Configurações!$A$7:$A$30,0)),"?"))</f>
        <v/>
      </c>
      <c r="G1736" s="25" t="str">
        <f aca="false">IF(A1736="","",A1736-WEEKDAY(A1736,2)+1)</f>
        <v/>
      </c>
      <c r="H1736" s="26" t="str">
        <f aca="false">IF(A1736="","",DATE(YEAR(A1736),MONTH(A1736),1))</f>
        <v/>
      </c>
    </row>
    <row r="1737" customFormat="false" ht="15" hidden="false" customHeight="false" outlineLevel="0" collapsed="false">
      <c r="A1737" s="22"/>
      <c r="B1737" s="23"/>
      <c r="C1737" s="23"/>
      <c r="D1737" s="24"/>
      <c r="E1737" s="23"/>
      <c r="F1737" s="15" t="str">
        <f aca="false">IF(B1737="","",IFERROR(INDEX(Configurações!$B$7:$B$30,MATCH(B1737,Configurações!$A$7:$A$30,0)),"?"))</f>
        <v/>
      </c>
      <c r="G1737" s="25" t="str">
        <f aca="false">IF(A1737="","",A1737-WEEKDAY(A1737,2)+1)</f>
        <v/>
      </c>
      <c r="H1737" s="26" t="str">
        <f aca="false">IF(A1737="","",DATE(YEAR(A1737),MONTH(A1737),1))</f>
        <v/>
      </c>
    </row>
    <row r="1738" customFormat="false" ht="15" hidden="false" customHeight="false" outlineLevel="0" collapsed="false">
      <c r="A1738" s="22"/>
      <c r="B1738" s="23"/>
      <c r="C1738" s="23"/>
      <c r="D1738" s="24"/>
      <c r="E1738" s="23"/>
      <c r="F1738" s="15" t="str">
        <f aca="false">IF(B1738="","",IFERROR(INDEX(Configurações!$B$7:$B$30,MATCH(B1738,Configurações!$A$7:$A$30,0)),"?"))</f>
        <v/>
      </c>
      <c r="G1738" s="25" t="str">
        <f aca="false">IF(A1738="","",A1738-WEEKDAY(A1738,2)+1)</f>
        <v/>
      </c>
      <c r="H1738" s="26" t="str">
        <f aca="false">IF(A1738="","",DATE(YEAR(A1738),MONTH(A1738),1))</f>
        <v/>
      </c>
    </row>
    <row r="1739" customFormat="false" ht="15" hidden="false" customHeight="false" outlineLevel="0" collapsed="false">
      <c r="A1739" s="22"/>
      <c r="B1739" s="23"/>
      <c r="C1739" s="23"/>
      <c r="D1739" s="24"/>
      <c r="E1739" s="23"/>
      <c r="F1739" s="15" t="str">
        <f aca="false">IF(B1739="","",IFERROR(INDEX(Configurações!$B$7:$B$30,MATCH(B1739,Configurações!$A$7:$A$30,0)),"?"))</f>
        <v/>
      </c>
      <c r="G1739" s="25" t="str">
        <f aca="false">IF(A1739="","",A1739-WEEKDAY(A1739,2)+1)</f>
        <v/>
      </c>
      <c r="H1739" s="26" t="str">
        <f aca="false">IF(A1739="","",DATE(YEAR(A1739),MONTH(A1739),1))</f>
        <v/>
      </c>
    </row>
    <row r="1740" customFormat="false" ht="15" hidden="false" customHeight="false" outlineLevel="0" collapsed="false">
      <c r="A1740" s="22"/>
      <c r="B1740" s="23"/>
      <c r="C1740" s="23"/>
      <c r="D1740" s="24"/>
      <c r="E1740" s="23"/>
      <c r="F1740" s="15" t="str">
        <f aca="false">IF(B1740="","",IFERROR(INDEX(Configurações!$B$7:$B$30,MATCH(B1740,Configurações!$A$7:$A$30,0)),"?"))</f>
        <v/>
      </c>
      <c r="G1740" s="25" t="str">
        <f aca="false">IF(A1740="","",A1740-WEEKDAY(A1740,2)+1)</f>
        <v/>
      </c>
      <c r="H1740" s="26" t="str">
        <f aca="false">IF(A1740="","",DATE(YEAR(A1740),MONTH(A1740),1))</f>
        <v/>
      </c>
    </row>
    <row r="1741" customFormat="false" ht="15" hidden="false" customHeight="false" outlineLevel="0" collapsed="false">
      <c r="A1741" s="22"/>
      <c r="B1741" s="23"/>
      <c r="C1741" s="23"/>
      <c r="D1741" s="24"/>
      <c r="E1741" s="23"/>
      <c r="F1741" s="15" t="str">
        <f aca="false">IF(B1741="","",IFERROR(INDEX(Configurações!$B$7:$B$30,MATCH(B1741,Configurações!$A$7:$A$30,0)),"?"))</f>
        <v/>
      </c>
      <c r="G1741" s="25" t="str">
        <f aca="false">IF(A1741="","",A1741-WEEKDAY(A1741,2)+1)</f>
        <v/>
      </c>
      <c r="H1741" s="26" t="str">
        <f aca="false">IF(A1741="","",DATE(YEAR(A1741),MONTH(A1741),1))</f>
        <v/>
      </c>
    </row>
    <row r="1742" customFormat="false" ht="15" hidden="false" customHeight="false" outlineLevel="0" collapsed="false">
      <c r="A1742" s="22"/>
      <c r="B1742" s="23"/>
      <c r="C1742" s="23"/>
      <c r="D1742" s="24"/>
      <c r="E1742" s="23"/>
      <c r="F1742" s="15" t="str">
        <f aca="false">IF(B1742="","",IFERROR(INDEX(Configurações!$B$7:$B$30,MATCH(B1742,Configurações!$A$7:$A$30,0)),"?"))</f>
        <v/>
      </c>
      <c r="G1742" s="25" t="str">
        <f aca="false">IF(A1742="","",A1742-WEEKDAY(A1742,2)+1)</f>
        <v/>
      </c>
      <c r="H1742" s="26" t="str">
        <f aca="false">IF(A1742="","",DATE(YEAR(A1742),MONTH(A1742),1))</f>
        <v/>
      </c>
    </row>
    <row r="1743" customFormat="false" ht="15" hidden="false" customHeight="false" outlineLevel="0" collapsed="false">
      <c r="A1743" s="22"/>
      <c r="B1743" s="23"/>
      <c r="C1743" s="23"/>
      <c r="D1743" s="24"/>
      <c r="E1743" s="23"/>
      <c r="F1743" s="15" t="str">
        <f aca="false">IF(B1743="","",IFERROR(INDEX(Configurações!$B$7:$B$30,MATCH(B1743,Configurações!$A$7:$A$30,0)),"?"))</f>
        <v/>
      </c>
      <c r="G1743" s="25" t="str">
        <f aca="false">IF(A1743="","",A1743-WEEKDAY(A1743,2)+1)</f>
        <v/>
      </c>
      <c r="H1743" s="26" t="str">
        <f aca="false">IF(A1743="","",DATE(YEAR(A1743),MONTH(A1743),1))</f>
        <v/>
      </c>
    </row>
    <row r="1744" customFormat="false" ht="15" hidden="false" customHeight="false" outlineLevel="0" collapsed="false">
      <c r="A1744" s="22"/>
      <c r="B1744" s="23"/>
      <c r="C1744" s="23"/>
      <c r="D1744" s="24"/>
      <c r="E1744" s="23"/>
      <c r="F1744" s="15" t="str">
        <f aca="false">IF(B1744="","",IFERROR(INDEX(Configurações!$B$7:$B$30,MATCH(B1744,Configurações!$A$7:$A$30,0)),"?"))</f>
        <v/>
      </c>
      <c r="G1744" s="25" t="str">
        <f aca="false">IF(A1744="","",A1744-WEEKDAY(A1744,2)+1)</f>
        <v/>
      </c>
      <c r="H1744" s="26" t="str">
        <f aca="false">IF(A1744="","",DATE(YEAR(A1744),MONTH(A1744),1))</f>
        <v/>
      </c>
    </row>
    <row r="1745" customFormat="false" ht="15" hidden="false" customHeight="false" outlineLevel="0" collapsed="false">
      <c r="A1745" s="22"/>
      <c r="B1745" s="23"/>
      <c r="C1745" s="23"/>
      <c r="D1745" s="24"/>
      <c r="E1745" s="23"/>
      <c r="F1745" s="15" t="str">
        <f aca="false">IF(B1745="","",IFERROR(INDEX(Configurações!$B$7:$B$30,MATCH(B1745,Configurações!$A$7:$A$30,0)),"?"))</f>
        <v/>
      </c>
      <c r="G1745" s="25" t="str">
        <f aca="false">IF(A1745="","",A1745-WEEKDAY(A1745,2)+1)</f>
        <v/>
      </c>
      <c r="H1745" s="26" t="str">
        <f aca="false">IF(A1745="","",DATE(YEAR(A1745),MONTH(A1745),1))</f>
        <v/>
      </c>
    </row>
    <row r="1746" customFormat="false" ht="15" hidden="false" customHeight="false" outlineLevel="0" collapsed="false">
      <c r="A1746" s="22"/>
      <c r="B1746" s="23"/>
      <c r="C1746" s="23"/>
      <c r="D1746" s="24"/>
      <c r="E1746" s="23"/>
      <c r="F1746" s="15" t="str">
        <f aca="false">IF(B1746="","",IFERROR(INDEX(Configurações!$B$7:$B$30,MATCH(B1746,Configurações!$A$7:$A$30,0)),"?"))</f>
        <v/>
      </c>
      <c r="G1746" s="25" t="str">
        <f aca="false">IF(A1746="","",A1746-WEEKDAY(A1746,2)+1)</f>
        <v/>
      </c>
      <c r="H1746" s="26" t="str">
        <f aca="false">IF(A1746="","",DATE(YEAR(A1746),MONTH(A1746),1))</f>
        <v/>
      </c>
    </row>
    <row r="1747" customFormat="false" ht="15" hidden="false" customHeight="false" outlineLevel="0" collapsed="false">
      <c r="A1747" s="22"/>
      <c r="B1747" s="23"/>
      <c r="C1747" s="23"/>
      <c r="D1747" s="24"/>
      <c r="E1747" s="23"/>
      <c r="F1747" s="15" t="str">
        <f aca="false">IF(B1747="","",IFERROR(INDEX(Configurações!$B$7:$B$30,MATCH(B1747,Configurações!$A$7:$A$30,0)),"?"))</f>
        <v/>
      </c>
      <c r="G1747" s="25" t="str">
        <f aca="false">IF(A1747="","",A1747-WEEKDAY(A1747,2)+1)</f>
        <v/>
      </c>
      <c r="H1747" s="26" t="str">
        <f aca="false">IF(A1747="","",DATE(YEAR(A1747),MONTH(A1747),1))</f>
        <v/>
      </c>
    </row>
    <row r="1748" customFormat="false" ht="15" hidden="false" customHeight="false" outlineLevel="0" collapsed="false">
      <c r="A1748" s="22"/>
      <c r="B1748" s="23"/>
      <c r="C1748" s="23"/>
      <c r="D1748" s="24"/>
      <c r="E1748" s="23"/>
      <c r="F1748" s="15" t="str">
        <f aca="false">IF(B1748="","",IFERROR(INDEX(Configurações!$B$7:$B$30,MATCH(B1748,Configurações!$A$7:$A$30,0)),"?"))</f>
        <v/>
      </c>
      <c r="G1748" s="25" t="str">
        <f aca="false">IF(A1748="","",A1748-WEEKDAY(A1748,2)+1)</f>
        <v/>
      </c>
      <c r="H1748" s="26" t="str">
        <f aca="false">IF(A1748="","",DATE(YEAR(A1748),MONTH(A1748),1))</f>
        <v/>
      </c>
    </row>
    <row r="1749" customFormat="false" ht="15" hidden="false" customHeight="false" outlineLevel="0" collapsed="false">
      <c r="A1749" s="22"/>
      <c r="B1749" s="23"/>
      <c r="C1749" s="23"/>
      <c r="D1749" s="24"/>
      <c r="E1749" s="23"/>
      <c r="F1749" s="15" t="str">
        <f aca="false">IF(B1749="","",IFERROR(INDEX(Configurações!$B$7:$B$30,MATCH(B1749,Configurações!$A$7:$A$30,0)),"?"))</f>
        <v/>
      </c>
      <c r="G1749" s="25" t="str">
        <f aca="false">IF(A1749="","",A1749-WEEKDAY(A1749,2)+1)</f>
        <v/>
      </c>
      <c r="H1749" s="26" t="str">
        <f aca="false">IF(A1749="","",DATE(YEAR(A1749),MONTH(A1749),1))</f>
        <v/>
      </c>
    </row>
    <row r="1750" customFormat="false" ht="15" hidden="false" customHeight="false" outlineLevel="0" collapsed="false">
      <c r="A1750" s="22"/>
      <c r="B1750" s="23"/>
      <c r="C1750" s="23"/>
      <c r="D1750" s="24"/>
      <c r="E1750" s="23"/>
      <c r="F1750" s="15" t="str">
        <f aca="false">IF(B1750="","",IFERROR(INDEX(Configurações!$B$7:$B$30,MATCH(B1750,Configurações!$A$7:$A$30,0)),"?"))</f>
        <v/>
      </c>
      <c r="G1750" s="25" t="str">
        <f aca="false">IF(A1750="","",A1750-WEEKDAY(A1750,2)+1)</f>
        <v/>
      </c>
      <c r="H1750" s="26" t="str">
        <f aca="false">IF(A1750="","",DATE(YEAR(A1750),MONTH(A1750),1))</f>
        <v/>
      </c>
    </row>
    <row r="1751" customFormat="false" ht="15" hidden="false" customHeight="false" outlineLevel="0" collapsed="false">
      <c r="A1751" s="22"/>
      <c r="B1751" s="23"/>
      <c r="C1751" s="23"/>
      <c r="D1751" s="24"/>
      <c r="E1751" s="23"/>
      <c r="F1751" s="15" t="str">
        <f aca="false">IF(B1751="","",IFERROR(INDEX(Configurações!$B$7:$B$30,MATCH(B1751,Configurações!$A$7:$A$30,0)),"?"))</f>
        <v/>
      </c>
      <c r="G1751" s="25" t="str">
        <f aca="false">IF(A1751="","",A1751-WEEKDAY(A1751,2)+1)</f>
        <v/>
      </c>
      <c r="H1751" s="26" t="str">
        <f aca="false">IF(A1751="","",DATE(YEAR(A1751),MONTH(A1751),1))</f>
        <v/>
      </c>
    </row>
    <row r="1752" customFormat="false" ht="15" hidden="false" customHeight="false" outlineLevel="0" collapsed="false">
      <c r="A1752" s="22"/>
      <c r="B1752" s="23"/>
      <c r="C1752" s="23"/>
      <c r="D1752" s="24"/>
      <c r="E1752" s="23"/>
      <c r="F1752" s="15" t="str">
        <f aca="false">IF(B1752="","",IFERROR(INDEX(Configurações!$B$7:$B$30,MATCH(B1752,Configurações!$A$7:$A$30,0)),"?"))</f>
        <v/>
      </c>
      <c r="G1752" s="25" t="str">
        <f aca="false">IF(A1752="","",A1752-WEEKDAY(A1752,2)+1)</f>
        <v/>
      </c>
      <c r="H1752" s="26" t="str">
        <f aca="false">IF(A1752="","",DATE(YEAR(A1752),MONTH(A1752),1))</f>
        <v/>
      </c>
    </row>
    <row r="1753" customFormat="false" ht="15" hidden="false" customHeight="false" outlineLevel="0" collapsed="false">
      <c r="A1753" s="22"/>
      <c r="B1753" s="23"/>
      <c r="C1753" s="23"/>
      <c r="D1753" s="24"/>
      <c r="E1753" s="23"/>
      <c r="F1753" s="15" t="str">
        <f aca="false">IF(B1753="","",IFERROR(INDEX(Configurações!$B$7:$B$30,MATCH(B1753,Configurações!$A$7:$A$30,0)),"?"))</f>
        <v/>
      </c>
      <c r="G1753" s="25" t="str">
        <f aca="false">IF(A1753="","",A1753-WEEKDAY(A1753,2)+1)</f>
        <v/>
      </c>
      <c r="H1753" s="26" t="str">
        <f aca="false">IF(A1753="","",DATE(YEAR(A1753),MONTH(A1753),1))</f>
        <v/>
      </c>
    </row>
    <row r="1754" customFormat="false" ht="15" hidden="false" customHeight="false" outlineLevel="0" collapsed="false">
      <c r="A1754" s="22"/>
      <c r="B1754" s="23"/>
      <c r="C1754" s="23"/>
      <c r="D1754" s="24"/>
      <c r="E1754" s="23"/>
      <c r="F1754" s="15" t="str">
        <f aca="false">IF(B1754="","",IFERROR(INDEX(Configurações!$B$7:$B$30,MATCH(B1754,Configurações!$A$7:$A$30,0)),"?"))</f>
        <v/>
      </c>
      <c r="G1754" s="25" t="str">
        <f aca="false">IF(A1754="","",A1754-WEEKDAY(A1754,2)+1)</f>
        <v/>
      </c>
      <c r="H1754" s="26" t="str">
        <f aca="false">IF(A1754="","",DATE(YEAR(A1754),MONTH(A1754),1))</f>
        <v/>
      </c>
    </row>
    <row r="1755" customFormat="false" ht="15" hidden="false" customHeight="false" outlineLevel="0" collapsed="false">
      <c r="A1755" s="22"/>
      <c r="B1755" s="23"/>
      <c r="C1755" s="23"/>
      <c r="D1755" s="24"/>
      <c r="E1755" s="23"/>
      <c r="F1755" s="15" t="str">
        <f aca="false">IF(B1755="","",IFERROR(INDEX(Configurações!$B$7:$B$30,MATCH(B1755,Configurações!$A$7:$A$30,0)),"?"))</f>
        <v/>
      </c>
      <c r="G1755" s="25" t="str">
        <f aca="false">IF(A1755="","",A1755-WEEKDAY(A1755,2)+1)</f>
        <v/>
      </c>
      <c r="H1755" s="26" t="str">
        <f aca="false">IF(A1755="","",DATE(YEAR(A1755),MONTH(A1755),1))</f>
        <v/>
      </c>
    </row>
    <row r="1756" customFormat="false" ht="15" hidden="false" customHeight="false" outlineLevel="0" collapsed="false">
      <c r="A1756" s="22"/>
      <c r="B1756" s="23"/>
      <c r="C1756" s="23"/>
      <c r="D1756" s="24"/>
      <c r="E1756" s="23"/>
      <c r="F1756" s="15" t="str">
        <f aca="false">IF(B1756="","",IFERROR(INDEX(Configurações!$B$7:$B$30,MATCH(B1756,Configurações!$A$7:$A$30,0)),"?"))</f>
        <v/>
      </c>
      <c r="G1756" s="25" t="str">
        <f aca="false">IF(A1756="","",A1756-WEEKDAY(A1756,2)+1)</f>
        <v/>
      </c>
      <c r="H1756" s="26" t="str">
        <f aca="false">IF(A1756="","",DATE(YEAR(A1756),MONTH(A1756),1))</f>
        <v/>
      </c>
    </row>
    <row r="1757" customFormat="false" ht="15" hidden="false" customHeight="false" outlineLevel="0" collapsed="false">
      <c r="A1757" s="22"/>
      <c r="B1757" s="23"/>
      <c r="C1757" s="23"/>
      <c r="D1757" s="24"/>
      <c r="E1757" s="23"/>
      <c r="F1757" s="15" t="str">
        <f aca="false">IF(B1757="","",IFERROR(INDEX(Configurações!$B$7:$B$30,MATCH(B1757,Configurações!$A$7:$A$30,0)),"?"))</f>
        <v/>
      </c>
      <c r="G1757" s="25" t="str">
        <f aca="false">IF(A1757="","",A1757-WEEKDAY(A1757,2)+1)</f>
        <v/>
      </c>
      <c r="H1757" s="26" t="str">
        <f aca="false">IF(A1757="","",DATE(YEAR(A1757),MONTH(A1757),1))</f>
        <v/>
      </c>
    </row>
    <row r="1758" customFormat="false" ht="15" hidden="false" customHeight="false" outlineLevel="0" collapsed="false">
      <c r="A1758" s="22"/>
      <c r="B1758" s="23"/>
      <c r="C1758" s="23"/>
      <c r="D1758" s="24"/>
      <c r="E1758" s="23"/>
      <c r="F1758" s="15" t="str">
        <f aca="false">IF(B1758="","",IFERROR(INDEX(Configurações!$B$7:$B$30,MATCH(B1758,Configurações!$A$7:$A$30,0)),"?"))</f>
        <v/>
      </c>
      <c r="G1758" s="25" t="str">
        <f aca="false">IF(A1758="","",A1758-WEEKDAY(A1758,2)+1)</f>
        <v/>
      </c>
      <c r="H1758" s="26" t="str">
        <f aca="false">IF(A1758="","",DATE(YEAR(A1758),MONTH(A1758),1))</f>
        <v/>
      </c>
    </row>
    <row r="1759" customFormat="false" ht="15" hidden="false" customHeight="false" outlineLevel="0" collapsed="false">
      <c r="A1759" s="22"/>
      <c r="B1759" s="23"/>
      <c r="C1759" s="23"/>
      <c r="D1759" s="24"/>
      <c r="E1759" s="23"/>
      <c r="F1759" s="15" t="str">
        <f aca="false">IF(B1759="","",IFERROR(INDEX(Configurações!$B$7:$B$30,MATCH(B1759,Configurações!$A$7:$A$30,0)),"?"))</f>
        <v/>
      </c>
      <c r="G1759" s="25" t="str">
        <f aca="false">IF(A1759="","",A1759-WEEKDAY(A1759,2)+1)</f>
        <v/>
      </c>
      <c r="H1759" s="26" t="str">
        <f aca="false">IF(A1759="","",DATE(YEAR(A1759),MONTH(A1759),1))</f>
        <v/>
      </c>
    </row>
    <row r="1760" customFormat="false" ht="15" hidden="false" customHeight="false" outlineLevel="0" collapsed="false">
      <c r="A1760" s="22"/>
      <c r="B1760" s="23"/>
      <c r="C1760" s="23"/>
      <c r="D1760" s="24"/>
      <c r="E1760" s="23"/>
      <c r="F1760" s="15" t="str">
        <f aca="false">IF(B1760="","",IFERROR(INDEX(Configurações!$B$7:$B$30,MATCH(B1760,Configurações!$A$7:$A$30,0)),"?"))</f>
        <v/>
      </c>
      <c r="G1760" s="25" t="str">
        <f aca="false">IF(A1760="","",A1760-WEEKDAY(A1760,2)+1)</f>
        <v/>
      </c>
      <c r="H1760" s="26" t="str">
        <f aca="false">IF(A1760="","",DATE(YEAR(A1760),MONTH(A1760),1))</f>
        <v/>
      </c>
    </row>
    <row r="1761" customFormat="false" ht="15" hidden="false" customHeight="false" outlineLevel="0" collapsed="false">
      <c r="A1761" s="22"/>
      <c r="B1761" s="23"/>
      <c r="C1761" s="23"/>
      <c r="D1761" s="24"/>
      <c r="E1761" s="23"/>
      <c r="F1761" s="15" t="str">
        <f aca="false">IF(B1761="","",IFERROR(INDEX(Configurações!$B$7:$B$30,MATCH(B1761,Configurações!$A$7:$A$30,0)),"?"))</f>
        <v/>
      </c>
      <c r="G1761" s="25" t="str">
        <f aca="false">IF(A1761="","",A1761-WEEKDAY(A1761,2)+1)</f>
        <v/>
      </c>
      <c r="H1761" s="26" t="str">
        <f aca="false">IF(A1761="","",DATE(YEAR(A1761),MONTH(A1761),1))</f>
        <v/>
      </c>
    </row>
    <row r="1762" customFormat="false" ht="15" hidden="false" customHeight="false" outlineLevel="0" collapsed="false">
      <c r="A1762" s="22"/>
      <c r="B1762" s="23"/>
      <c r="C1762" s="23"/>
      <c r="D1762" s="24"/>
      <c r="E1762" s="23"/>
      <c r="F1762" s="15" t="str">
        <f aca="false">IF(B1762="","",IFERROR(INDEX(Configurações!$B$7:$B$30,MATCH(B1762,Configurações!$A$7:$A$30,0)),"?"))</f>
        <v/>
      </c>
      <c r="G1762" s="25" t="str">
        <f aca="false">IF(A1762="","",A1762-WEEKDAY(A1762,2)+1)</f>
        <v/>
      </c>
      <c r="H1762" s="26" t="str">
        <f aca="false">IF(A1762="","",DATE(YEAR(A1762),MONTH(A1762),1))</f>
        <v/>
      </c>
    </row>
    <row r="1763" customFormat="false" ht="15" hidden="false" customHeight="false" outlineLevel="0" collapsed="false">
      <c r="A1763" s="22"/>
      <c r="B1763" s="23"/>
      <c r="C1763" s="23"/>
      <c r="D1763" s="24"/>
      <c r="E1763" s="23"/>
      <c r="F1763" s="15" t="str">
        <f aca="false">IF(B1763="","",IFERROR(INDEX(Configurações!$B$7:$B$30,MATCH(B1763,Configurações!$A$7:$A$30,0)),"?"))</f>
        <v/>
      </c>
      <c r="G1763" s="25" t="str">
        <f aca="false">IF(A1763="","",A1763-WEEKDAY(A1763,2)+1)</f>
        <v/>
      </c>
      <c r="H1763" s="26" t="str">
        <f aca="false">IF(A1763="","",DATE(YEAR(A1763),MONTH(A1763),1))</f>
        <v/>
      </c>
    </row>
    <row r="1764" customFormat="false" ht="15" hidden="false" customHeight="false" outlineLevel="0" collapsed="false">
      <c r="A1764" s="22"/>
      <c r="B1764" s="23"/>
      <c r="C1764" s="23"/>
      <c r="D1764" s="24"/>
      <c r="E1764" s="23"/>
      <c r="F1764" s="15" t="str">
        <f aca="false">IF(B1764="","",IFERROR(INDEX(Configurações!$B$7:$B$30,MATCH(B1764,Configurações!$A$7:$A$30,0)),"?"))</f>
        <v/>
      </c>
      <c r="G1764" s="25" t="str">
        <f aca="false">IF(A1764="","",A1764-WEEKDAY(A1764,2)+1)</f>
        <v/>
      </c>
      <c r="H1764" s="26" t="str">
        <f aca="false">IF(A1764="","",DATE(YEAR(A1764),MONTH(A1764),1))</f>
        <v/>
      </c>
    </row>
    <row r="1765" customFormat="false" ht="15" hidden="false" customHeight="false" outlineLevel="0" collapsed="false">
      <c r="A1765" s="22"/>
      <c r="B1765" s="23"/>
      <c r="C1765" s="23"/>
      <c r="D1765" s="24"/>
      <c r="E1765" s="23"/>
      <c r="F1765" s="15" t="str">
        <f aca="false">IF(B1765="","",IFERROR(INDEX(Configurações!$B$7:$B$30,MATCH(B1765,Configurações!$A$7:$A$30,0)),"?"))</f>
        <v/>
      </c>
      <c r="G1765" s="25" t="str">
        <f aca="false">IF(A1765="","",A1765-WEEKDAY(A1765,2)+1)</f>
        <v/>
      </c>
      <c r="H1765" s="26" t="str">
        <f aca="false">IF(A1765="","",DATE(YEAR(A1765),MONTH(A1765),1))</f>
        <v/>
      </c>
    </row>
    <row r="1766" customFormat="false" ht="15" hidden="false" customHeight="false" outlineLevel="0" collapsed="false">
      <c r="A1766" s="22"/>
      <c r="B1766" s="23"/>
      <c r="C1766" s="23"/>
      <c r="D1766" s="24"/>
      <c r="E1766" s="23"/>
      <c r="F1766" s="15" t="str">
        <f aca="false">IF(B1766="","",IFERROR(INDEX(Configurações!$B$7:$B$30,MATCH(B1766,Configurações!$A$7:$A$30,0)),"?"))</f>
        <v/>
      </c>
      <c r="G1766" s="25" t="str">
        <f aca="false">IF(A1766="","",A1766-WEEKDAY(A1766,2)+1)</f>
        <v/>
      </c>
      <c r="H1766" s="26" t="str">
        <f aca="false">IF(A1766="","",DATE(YEAR(A1766),MONTH(A1766),1))</f>
        <v/>
      </c>
    </row>
    <row r="1767" customFormat="false" ht="15" hidden="false" customHeight="false" outlineLevel="0" collapsed="false">
      <c r="A1767" s="22"/>
      <c r="B1767" s="23"/>
      <c r="C1767" s="23"/>
      <c r="D1767" s="24"/>
      <c r="E1767" s="23"/>
      <c r="F1767" s="15" t="str">
        <f aca="false">IF(B1767="","",IFERROR(INDEX(Configurações!$B$7:$B$30,MATCH(B1767,Configurações!$A$7:$A$30,0)),"?"))</f>
        <v/>
      </c>
      <c r="G1767" s="25" t="str">
        <f aca="false">IF(A1767="","",A1767-WEEKDAY(A1767,2)+1)</f>
        <v/>
      </c>
      <c r="H1767" s="26" t="str">
        <f aca="false">IF(A1767="","",DATE(YEAR(A1767),MONTH(A1767),1))</f>
        <v/>
      </c>
    </row>
    <row r="1768" customFormat="false" ht="15" hidden="false" customHeight="false" outlineLevel="0" collapsed="false">
      <c r="A1768" s="22"/>
      <c r="B1768" s="23"/>
      <c r="C1768" s="23"/>
      <c r="D1768" s="24"/>
      <c r="E1768" s="23"/>
      <c r="F1768" s="15" t="str">
        <f aca="false">IF(B1768="","",IFERROR(INDEX(Configurações!$B$7:$B$30,MATCH(B1768,Configurações!$A$7:$A$30,0)),"?"))</f>
        <v/>
      </c>
      <c r="G1768" s="25" t="str">
        <f aca="false">IF(A1768="","",A1768-WEEKDAY(A1768,2)+1)</f>
        <v/>
      </c>
      <c r="H1768" s="26" t="str">
        <f aca="false">IF(A1768="","",DATE(YEAR(A1768),MONTH(A1768),1))</f>
        <v/>
      </c>
    </row>
    <row r="1769" customFormat="false" ht="15" hidden="false" customHeight="false" outlineLevel="0" collapsed="false">
      <c r="A1769" s="22"/>
      <c r="B1769" s="23"/>
      <c r="C1769" s="23"/>
      <c r="D1769" s="24"/>
      <c r="E1769" s="23"/>
      <c r="F1769" s="15" t="str">
        <f aca="false">IF(B1769="","",IFERROR(INDEX(Configurações!$B$7:$B$30,MATCH(B1769,Configurações!$A$7:$A$30,0)),"?"))</f>
        <v/>
      </c>
      <c r="G1769" s="25" t="str">
        <f aca="false">IF(A1769="","",A1769-WEEKDAY(A1769,2)+1)</f>
        <v/>
      </c>
      <c r="H1769" s="26" t="str">
        <f aca="false">IF(A1769="","",DATE(YEAR(A1769),MONTH(A1769),1))</f>
        <v/>
      </c>
    </row>
    <row r="1770" customFormat="false" ht="15" hidden="false" customHeight="false" outlineLevel="0" collapsed="false">
      <c r="A1770" s="22"/>
      <c r="B1770" s="23"/>
      <c r="C1770" s="23"/>
      <c r="D1770" s="24"/>
      <c r="E1770" s="23"/>
      <c r="F1770" s="15" t="str">
        <f aca="false">IF(B1770="","",IFERROR(INDEX(Configurações!$B$7:$B$30,MATCH(B1770,Configurações!$A$7:$A$30,0)),"?"))</f>
        <v/>
      </c>
      <c r="G1770" s="25" t="str">
        <f aca="false">IF(A1770="","",A1770-WEEKDAY(A1770,2)+1)</f>
        <v/>
      </c>
      <c r="H1770" s="26" t="str">
        <f aca="false">IF(A1770="","",DATE(YEAR(A1770),MONTH(A1770),1))</f>
        <v/>
      </c>
    </row>
    <row r="1771" customFormat="false" ht="15" hidden="false" customHeight="false" outlineLevel="0" collapsed="false">
      <c r="A1771" s="22"/>
      <c r="B1771" s="23"/>
      <c r="C1771" s="23"/>
      <c r="D1771" s="24"/>
      <c r="E1771" s="23"/>
      <c r="F1771" s="15" t="str">
        <f aca="false">IF(B1771="","",IFERROR(INDEX(Configurações!$B$7:$B$30,MATCH(B1771,Configurações!$A$7:$A$30,0)),"?"))</f>
        <v/>
      </c>
      <c r="G1771" s="25" t="str">
        <f aca="false">IF(A1771="","",A1771-WEEKDAY(A1771,2)+1)</f>
        <v/>
      </c>
      <c r="H1771" s="26" t="str">
        <f aca="false">IF(A1771="","",DATE(YEAR(A1771),MONTH(A1771),1))</f>
        <v/>
      </c>
    </row>
    <row r="1772" customFormat="false" ht="15" hidden="false" customHeight="false" outlineLevel="0" collapsed="false">
      <c r="A1772" s="22"/>
      <c r="B1772" s="23"/>
      <c r="C1772" s="23"/>
      <c r="D1772" s="24"/>
      <c r="E1772" s="23"/>
      <c r="F1772" s="15" t="str">
        <f aca="false">IF(B1772="","",IFERROR(INDEX(Configurações!$B$7:$B$30,MATCH(B1772,Configurações!$A$7:$A$30,0)),"?"))</f>
        <v/>
      </c>
      <c r="G1772" s="25" t="str">
        <f aca="false">IF(A1772="","",A1772-WEEKDAY(A1772,2)+1)</f>
        <v/>
      </c>
      <c r="H1772" s="26" t="str">
        <f aca="false">IF(A1772="","",DATE(YEAR(A1772),MONTH(A1772),1))</f>
        <v/>
      </c>
    </row>
    <row r="1773" customFormat="false" ht="15" hidden="false" customHeight="false" outlineLevel="0" collapsed="false">
      <c r="A1773" s="22"/>
      <c r="B1773" s="23"/>
      <c r="C1773" s="23"/>
      <c r="D1773" s="24"/>
      <c r="E1773" s="23"/>
      <c r="F1773" s="15" t="str">
        <f aca="false">IF(B1773="","",IFERROR(INDEX(Configurações!$B$7:$B$30,MATCH(B1773,Configurações!$A$7:$A$30,0)),"?"))</f>
        <v/>
      </c>
      <c r="G1773" s="25" t="str">
        <f aca="false">IF(A1773="","",A1773-WEEKDAY(A1773,2)+1)</f>
        <v/>
      </c>
      <c r="H1773" s="26" t="str">
        <f aca="false">IF(A1773="","",DATE(YEAR(A1773),MONTH(A1773),1))</f>
        <v/>
      </c>
    </row>
    <row r="1774" customFormat="false" ht="15" hidden="false" customHeight="false" outlineLevel="0" collapsed="false">
      <c r="A1774" s="22"/>
      <c r="B1774" s="23"/>
      <c r="C1774" s="23"/>
      <c r="D1774" s="24"/>
      <c r="E1774" s="23"/>
      <c r="F1774" s="15" t="str">
        <f aca="false">IF(B1774="","",IFERROR(INDEX(Configurações!$B$7:$B$30,MATCH(B1774,Configurações!$A$7:$A$30,0)),"?"))</f>
        <v/>
      </c>
      <c r="G1774" s="25" t="str">
        <f aca="false">IF(A1774="","",A1774-WEEKDAY(A1774,2)+1)</f>
        <v/>
      </c>
      <c r="H1774" s="26" t="str">
        <f aca="false">IF(A1774="","",DATE(YEAR(A1774),MONTH(A1774),1))</f>
        <v/>
      </c>
    </row>
    <row r="1775" customFormat="false" ht="15" hidden="false" customHeight="false" outlineLevel="0" collapsed="false">
      <c r="A1775" s="22"/>
      <c r="B1775" s="23"/>
      <c r="C1775" s="23"/>
      <c r="D1775" s="24"/>
      <c r="E1775" s="23"/>
      <c r="F1775" s="15" t="str">
        <f aca="false">IF(B1775="","",IFERROR(INDEX(Configurações!$B$7:$B$30,MATCH(B1775,Configurações!$A$7:$A$30,0)),"?"))</f>
        <v/>
      </c>
      <c r="G1775" s="25" t="str">
        <f aca="false">IF(A1775="","",A1775-WEEKDAY(A1775,2)+1)</f>
        <v/>
      </c>
      <c r="H1775" s="26" t="str">
        <f aca="false">IF(A1775="","",DATE(YEAR(A1775),MONTH(A1775),1))</f>
        <v/>
      </c>
    </row>
    <row r="1776" customFormat="false" ht="15" hidden="false" customHeight="false" outlineLevel="0" collapsed="false">
      <c r="A1776" s="22"/>
      <c r="B1776" s="23"/>
      <c r="C1776" s="23"/>
      <c r="D1776" s="24"/>
      <c r="E1776" s="23"/>
      <c r="F1776" s="15" t="str">
        <f aca="false">IF(B1776="","",IFERROR(INDEX(Configurações!$B$7:$B$30,MATCH(B1776,Configurações!$A$7:$A$30,0)),"?"))</f>
        <v/>
      </c>
      <c r="G1776" s="25" t="str">
        <f aca="false">IF(A1776="","",A1776-WEEKDAY(A1776,2)+1)</f>
        <v/>
      </c>
      <c r="H1776" s="26" t="str">
        <f aca="false">IF(A1776="","",DATE(YEAR(A1776),MONTH(A1776),1))</f>
        <v/>
      </c>
    </row>
    <row r="1777" customFormat="false" ht="15" hidden="false" customHeight="false" outlineLevel="0" collapsed="false">
      <c r="A1777" s="22"/>
      <c r="B1777" s="23"/>
      <c r="C1777" s="23"/>
      <c r="D1777" s="24"/>
      <c r="E1777" s="23"/>
      <c r="F1777" s="15" t="str">
        <f aca="false">IF(B1777="","",IFERROR(INDEX(Configurações!$B$7:$B$30,MATCH(B1777,Configurações!$A$7:$A$30,0)),"?"))</f>
        <v/>
      </c>
      <c r="G1777" s="25" t="str">
        <f aca="false">IF(A1777="","",A1777-WEEKDAY(A1777,2)+1)</f>
        <v/>
      </c>
      <c r="H1777" s="26" t="str">
        <f aca="false">IF(A1777="","",DATE(YEAR(A1777),MONTH(A1777),1))</f>
        <v/>
      </c>
    </row>
    <row r="1778" customFormat="false" ht="15" hidden="false" customHeight="false" outlineLevel="0" collapsed="false">
      <c r="A1778" s="22"/>
      <c r="B1778" s="23"/>
      <c r="C1778" s="23"/>
      <c r="D1778" s="24"/>
      <c r="E1778" s="23"/>
      <c r="F1778" s="15" t="str">
        <f aca="false">IF(B1778="","",IFERROR(INDEX(Configurações!$B$7:$B$30,MATCH(B1778,Configurações!$A$7:$A$30,0)),"?"))</f>
        <v/>
      </c>
      <c r="G1778" s="25" t="str">
        <f aca="false">IF(A1778="","",A1778-WEEKDAY(A1778,2)+1)</f>
        <v/>
      </c>
      <c r="H1778" s="26" t="str">
        <f aca="false">IF(A1778="","",DATE(YEAR(A1778),MONTH(A1778),1))</f>
        <v/>
      </c>
    </row>
    <row r="1779" customFormat="false" ht="15" hidden="false" customHeight="false" outlineLevel="0" collapsed="false">
      <c r="A1779" s="22"/>
      <c r="B1779" s="23"/>
      <c r="C1779" s="23"/>
      <c r="D1779" s="24"/>
      <c r="E1779" s="23"/>
      <c r="F1779" s="15" t="str">
        <f aca="false">IF(B1779="","",IFERROR(INDEX(Configurações!$B$7:$B$30,MATCH(B1779,Configurações!$A$7:$A$30,0)),"?"))</f>
        <v/>
      </c>
      <c r="G1779" s="25" t="str">
        <f aca="false">IF(A1779="","",A1779-WEEKDAY(A1779,2)+1)</f>
        <v/>
      </c>
      <c r="H1779" s="26" t="str">
        <f aca="false">IF(A1779="","",DATE(YEAR(A1779),MONTH(A1779),1))</f>
        <v/>
      </c>
    </row>
    <row r="1780" customFormat="false" ht="15" hidden="false" customHeight="false" outlineLevel="0" collapsed="false">
      <c r="A1780" s="22"/>
      <c r="B1780" s="23"/>
      <c r="C1780" s="23"/>
      <c r="D1780" s="24"/>
      <c r="E1780" s="23"/>
      <c r="F1780" s="15" t="str">
        <f aca="false">IF(B1780="","",IFERROR(INDEX(Configurações!$B$7:$B$30,MATCH(B1780,Configurações!$A$7:$A$30,0)),"?"))</f>
        <v/>
      </c>
      <c r="G1780" s="25" t="str">
        <f aca="false">IF(A1780="","",A1780-WEEKDAY(A1780,2)+1)</f>
        <v/>
      </c>
      <c r="H1780" s="26" t="str">
        <f aca="false">IF(A1780="","",DATE(YEAR(A1780),MONTH(A1780),1))</f>
        <v/>
      </c>
    </row>
    <row r="1781" customFormat="false" ht="15" hidden="false" customHeight="false" outlineLevel="0" collapsed="false">
      <c r="A1781" s="22"/>
      <c r="B1781" s="23"/>
      <c r="C1781" s="23"/>
      <c r="D1781" s="24"/>
      <c r="E1781" s="23"/>
      <c r="F1781" s="15" t="str">
        <f aca="false">IF(B1781="","",IFERROR(INDEX(Configurações!$B$7:$B$30,MATCH(B1781,Configurações!$A$7:$A$30,0)),"?"))</f>
        <v/>
      </c>
      <c r="G1781" s="25" t="str">
        <f aca="false">IF(A1781="","",A1781-WEEKDAY(A1781,2)+1)</f>
        <v/>
      </c>
      <c r="H1781" s="26" t="str">
        <f aca="false">IF(A1781="","",DATE(YEAR(A1781),MONTH(A1781),1))</f>
        <v/>
      </c>
    </row>
    <row r="1782" customFormat="false" ht="15" hidden="false" customHeight="false" outlineLevel="0" collapsed="false">
      <c r="A1782" s="22"/>
      <c r="B1782" s="23"/>
      <c r="C1782" s="23"/>
      <c r="D1782" s="24"/>
      <c r="E1782" s="23"/>
      <c r="F1782" s="15" t="str">
        <f aca="false">IF(B1782="","",IFERROR(INDEX(Configurações!$B$7:$B$30,MATCH(B1782,Configurações!$A$7:$A$30,0)),"?"))</f>
        <v/>
      </c>
      <c r="G1782" s="25" t="str">
        <f aca="false">IF(A1782="","",A1782-WEEKDAY(A1782,2)+1)</f>
        <v/>
      </c>
      <c r="H1782" s="26" t="str">
        <f aca="false">IF(A1782="","",DATE(YEAR(A1782),MONTH(A1782),1))</f>
        <v/>
      </c>
    </row>
    <row r="1783" customFormat="false" ht="15" hidden="false" customHeight="false" outlineLevel="0" collapsed="false">
      <c r="A1783" s="22"/>
      <c r="B1783" s="23"/>
      <c r="C1783" s="23"/>
      <c r="D1783" s="24"/>
      <c r="E1783" s="23"/>
      <c r="F1783" s="15" t="str">
        <f aca="false">IF(B1783="","",IFERROR(INDEX(Configurações!$B$7:$B$30,MATCH(B1783,Configurações!$A$7:$A$30,0)),"?"))</f>
        <v/>
      </c>
      <c r="G1783" s="25" t="str">
        <f aca="false">IF(A1783="","",A1783-WEEKDAY(A1783,2)+1)</f>
        <v/>
      </c>
      <c r="H1783" s="26" t="str">
        <f aca="false">IF(A1783="","",DATE(YEAR(A1783),MONTH(A1783),1))</f>
        <v/>
      </c>
    </row>
    <row r="1784" customFormat="false" ht="15" hidden="false" customHeight="false" outlineLevel="0" collapsed="false">
      <c r="A1784" s="22"/>
      <c r="B1784" s="23"/>
      <c r="C1784" s="23"/>
      <c r="D1784" s="24"/>
      <c r="E1784" s="23"/>
      <c r="F1784" s="15" t="str">
        <f aca="false">IF(B1784="","",IFERROR(INDEX(Configurações!$B$7:$B$30,MATCH(B1784,Configurações!$A$7:$A$30,0)),"?"))</f>
        <v/>
      </c>
      <c r="G1784" s="25" t="str">
        <f aca="false">IF(A1784="","",A1784-WEEKDAY(A1784,2)+1)</f>
        <v/>
      </c>
      <c r="H1784" s="26" t="str">
        <f aca="false">IF(A1784="","",DATE(YEAR(A1784),MONTH(A1784),1))</f>
        <v/>
      </c>
    </row>
    <row r="1785" customFormat="false" ht="15" hidden="false" customHeight="false" outlineLevel="0" collapsed="false">
      <c r="A1785" s="22"/>
      <c r="B1785" s="23"/>
      <c r="C1785" s="23"/>
      <c r="D1785" s="24"/>
      <c r="E1785" s="23"/>
      <c r="F1785" s="15" t="str">
        <f aca="false">IF(B1785="","",IFERROR(INDEX(Configurações!$B$7:$B$30,MATCH(B1785,Configurações!$A$7:$A$30,0)),"?"))</f>
        <v/>
      </c>
      <c r="G1785" s="25" t="str">
        <f aca="false">IF(A1785="","",A1785-WEEKDAY(A1785,2)+1)</f>
        <v/>
      </c>
      <c r="H1785" s="26" t="str">
        <f aca="false">IF(A1785="","",DATE(YEAR(A1785),MONTH(A1785),1))</f>
        <v/>
      </c>
    </row>
    <row r="1786" customFormat="false" ht="15" hidden="false" customHeight="false" outlineLevel="0" collapsed="false">
      <c r="A1786" s="22"/>
      <c r="B1786" s="23"/>
      <c r="C1786" s="23"/>
      <c r="D1786" s="24"/>
      <c r="E1786" s="23"/>
      <c r="F1786" s="15" t="str">
        <f aca="false">IF(B1786="","",IFERROR(INDEX(Configurações!$B$7:$B$30,MATCH(B1786,Configurações!$A$7:$A$30,0)),"?"))</f>
        <v/>
      </c>
      <c r="G1786" s="25" t="str">
        <f aca="false">IF(A1786="","",A1786-WEEKDAY(A1786,2)+1)</f>
        <v/>
      </c>
      <c r="H1786" s="26" t="str">
        <f aca="false">IF(A1786="","",DATE(YEAR(A1786),MONTH(A1786),1))</f>
        <v/>
      </c>
    </row>
    <row r="1787" customFormat="false" ht="15" hidden="false" customHeight="false" outlineLevel="0" collapsed="false">
      <c r="A1787" s="22"/>
      <c r="B1787" s="23"/>
      <c r="C1787" s="23"/>
      <c r="D1787" s="24"/>
      <c r="E1787" s="23"/>
      <c r="F1787" s="15" t="str">
        <f aca="false">IF(B1787="","",IFERROR(INDEX(Configurações!$B$7:$B$30,MATCH(B1787,Configurações!$A$7:$A$30,0)),"?"))</f>
        <v/>
      </c>
      <c r="G1787" s="25" t="str">
        <f aca="false">IF(A1787="","",A1787-WEEKDAY(A1787,2)+1)</f>
        <v/>
      </c>
      <c r="H1787" s="26" t="str">
        <f aca="false">IF(A1787="","",DATE(YEAR(A1787),MONTH(A1787),1))</f>
        <v/>
      </c>
    </row>
    <row r="1788" customFormat="false" ht="15" hidden="false" customHeight="false" outlineLevel="0" collapsed="false">
      <c r="A1788" s="22"/>
      <c r="B1788" s="23"/>
      <c r="C1788" s="23"/>
      <c r="D1788" s="24"/>
      <c r="E1788" s="23"/>
      <c r="F1788" s="15" t="str">
        <f aca="false">IF(B1788="","",IFERROR(INDEX(Configurações!$B$7:$B$30,MATCH(B1788,Configurações!$A$7:$A$30,0)),"?"))</f>
        <v/>
      </c>
      <c r="G1788" s="25" t="str">
        <f aca="false">IF(A1788="","",A1788-WEEKDAY(A1788,2)+1)</f>
        <v/>
      </c>
      <c r="H1788" s="26" t="str">
        <f aca="false">IF(A1788="","",DATE(YEAR(A1788),MONTH(A1788),1))</f>
        <v/>
      </c>
    </row>
    <row r="1789" customFormat="false" ht="15" hidden="false" customHeight="false" outlineLevel="0" collapsed="false">
      <c r="A1789" s="22"/>
      <c r="B1789" s="23"/>
      <c r="C1789" s="23"/>
      <c r="D1789" s="24"/>
      <c r="E1789" s="23"/>
      <c r="F1789" s="15" t="str">
        <f aca="false">IF(B1789="","",IFERROR(INDEX(Configurações!$B$7:$B$30,MATCH(B1789,Configurações!$A$7:$A$30,0)),"?"))</f>
        <v/>
      </c>
      <c r="G1789" s="25" t="str">
        <f aca="false">IF(A1789="","",A1789-WEEKDAY(A1789,2)+1)</f>
        <v/>
      </c>
      <c r="H1789" s="26" t="str">
        <f aca="false">IF(A1789="","",DATE(YEAR(A1789),MONTH(A1789),1))</f>
        <v/>
      </c>
    </row>
    <row r="1790" customFormat="false" ht="15" hidden="false" customHeight="false" outlineLevel="0" collapsed="false">
      <c r="A1790" s="22"/>
      <c r="B1790" s="23"/>
      <c r="C1790" s="23"/>
      <c r="D1790" s="24"/>
      <c r="E1790" s="23"/>
      <c r="F1790" s="15" t="str">
        <f aca="false">IF(B1790="","",IFERROR(INDEX(Configurações!$B$7:$B$30,MATCH(B1790,Configurações!$A$7:$A$30,0)),"?"))</f>
        <v/>
      </c>
      <c r="G1790" s="25" t="str">
        <f aca="false">IF(A1790="","",A1790-WEEKDAY(A1790,2)+1)</f>
        <v/>
      </c>
      <c r="H1790" s="26" t="str">
        <f aca="false">IF(A1790="","",DATE(YEAR(A1790),MONTH(A1790),1))</f>
        <v/>
      </c>
    </row>
    <row r="1791" customFormat="false" ht="15" hidden="false" customHeight="false" outlineLevel="0" collapsed="false">
      <c r="A1791" s="22"/>
      <c r="B1791" s="23"/>
      <c r="C1791" s="23"/>
      <c r="D1791" s="24"/>
      <c r="E1791" s="23"/>
      <c r="F1791" s="15" t="str">
        <f aca="false">IF(B1791="","",IFERROR(INDEX(Configurações!$B$7:$B$30,MATCH(B1791,Configurações!$A$7:$A$30,0)),"?"))</f>
        <v/>
      </c>
      <c r="G1791" s="25" t="str">
        <f aca="false">IF(A1791="","",A1791-WEEKDAY(A1791,2)+1)</f>
        <v/>
      </c>
      <c r="H1791" s="26" t="str">
        <f aca="false">IF(A1791="","",DATE(YEAR(A1791),MONTH(A1791),1))</f>
        <v/>
      </c>
    </row>
    <row r="1792" customFormat="false" ht="15" hidden="false" customHeight="false" outlineLevel="0" collapsed="false">
      <c r="A1792" s="22"/>
      <c r="B1792" s="23"/>
      <c r="C1792" s="23"/>
      <c r="D1792" s="24"/>
      <c r="E1792" s="23"/>
      <c r="F1792" s="15" t="str">
        <f aca="false">IF(B1792="","",IFERROR(INDEX(Configurações!$B$7:$B$30,MATCH(B1792,Configurações!$A$7:$A$30,0)),"?"))</f>
        <v/>
      </c>
      <c r="G1792" s="25" t="str">
        <f aca="false">IF(A1792="","",A1792-WEEKDAY(A1792,2)+1)</f>
        <v/>
      </c>
      <c r="H1792" s="26" t="str">
        <f aca="false">IF(A1792="","",DATE(YEAR(A1792),MONTH(A1792),1))</f>
        <v/>
      </c>
    </row>
    <row r="1793" customFormat="false" ht="15" hidden="false" customHeight="false" outlineLevel="0" collapsed="false">
      <c r="A1793" s="22"/>
      <c r="B1793" s="23"/>
      <c r="C1793" s="23"/>
      <c r="D1793" s="24"/>
      <c r="E1793" s="23"/>
      <c r="F1793" s="15" t="str">
        <f aca="false">IF(B1793="","",IFERROR(INDEX(Configurações!$B$7:$B$30,MATCH(B1793,Configurações!$A$7:$A$30,0)),"?"))</f>
        <v/>
      </c>
      <c r="G1793" s="25" t="str">
        <f aca="false">IF(A1793="","",A1793-WEEKDAY(A1793,2)+1)</f>
        <v/>
      </c>
      <c r="H1793" s="26" t="str">
        <f aca="false">IF(A1793="","",DATE(YEAR(A1793),MONTH(A1793),1))</f>
        <v/>
      </c>
    </row>
    <row r="1794" customFormat="false" ht="15" hidden="false" customHeight="false" outlineLevel="0" collapsed="false">
      <c r="A1794" s="22"/>
      <c r="B1794" s="23"/>
      <c r="C1794" s="23"/>
      <c r="D1794" s="24"/>
      <c r="E1794" s="23"/>
      <c r="F1794" s="15" t="str">
        <f aca="false">IF(B1794="","",IFERROR(INDEX(Configurações!$B$7:$B$30,MATCH(B1794,Configurações!$A$7:$A$30,0)),"?"))</f>
        <v/>
      </c>
      <c r="G1794" s="25" t="str">
        <f aca="false">IF(A1794="","",A1794-WEEKDAY(A1794,2)+1)</f>
        <v/>
      </c>
      <c r="H1794" s="26" t="str">
        <f aca="false">IF(A1794="","",DATE(YEAR(A1794),MONTH(A1794),1))</f>
        <v/>
      </c>
    </row>
    <row r="1795" customFormat="false" ht="15" hidden="false" customHeight="false" outlineLevel="0" collapsed="false">
      <c r="A1795" s="22"/>
      <c r="B1795" s="23"/>
      <c r="C1795" s="23"/>
      <c r="D1795" s="24"/>
      <c r="E1795" s="23"/>
      <c r="F1795" s="15" t="str">
        <f aca="false">IF(B1795="","",IFERROR(INDEX(Configurações!$B$7:$B$30,MATCH(B1795,Configurações!$A$7:$A$30,0)),"?"))</f>
        <v/>
      </c>
      <c r="G1795" s="25" t="str">
        <f aca="false">IF(A1795="","",A1795-WEEKDAY(A1795,2)+1)</f>
        <v/>
      </c>
      <c r="H1795" s="26" t="str">
        <f aca="false">IF(A1795="","",DATE(YEAR(A1795),MONTH(A1795),1))</f>
        <v/>
      </c>
    </row>
    <row r="1796" customFormat="false" ht="15" hidden="false" customHeight="false" outlineLevel="0" collapsed="false">
      <c r="A1796" s="22"/>
      <c r="B1796" s="23"/>
      <c r="C1796" s="23"/>
      <c r="D1796" s="24"/>
      <c r="E1796" s="23"/>
      <c r="F1796" s="15" t="str">
        <f aca="false">IF(B1796="","",IFERROR(INDEX(Configurações!$B$7:$B$30,MATCH(B1796,Configurações!$A$7:$A$30,0)),"?"))</f>
        <v/>
      </c>
      <c r="G1796" s="25" t="str">
        <f aca="false">IF(A1796="","",A1796-WEEKDAY(A1796,2)+1)</f>
        <v/>
      </c>
      <c r="H1796" s="26" t="str">
        <f aca="false">IF(A1796="","",DATE(YEAR(A1796),MONTH(A1796),1))</f>
        <v/>
      </c>
    </row>
    <row r="1797" customFormat="false" ht="15" hidden="false" customHeight="false" outlineLevel="0" collapsed="false">
      <c r="A1797" s="22"/>
      <c r="B1797" s="23"/>
      <c r="C1797" s="23"/>
      <c r="D1797" s="24"/>
      <c r="E1797" s="23"/>
      <c r="F1797" s="15" t="str">
        <f aca="false">IF(B1797="","",IFERROR(INDEX(Configurações!$B$7:$B$30,MATCH(B1797,Configurações!$A$7:$A$30,0)),"?"))</f>
        <v/>
      </c>
      <c r="G1797" s="25" t="str">
        <f aca="false">IF(A1797="","",A1797-WEEKDAY(A1797,2)+1)</f>
        <v/>
      </c>
      <c r="H1797" s="26" t="str">
        <f aca="false">IF(A1797="","",DATE(YEAR(A1797),MONTH(A1797),1))</f>
        <v/>
      </c>
    </row>
    <row r="1798" customFormat="false" ht="15" hidden="false" customHeight="false" outlineLevel="0" collapsed="false">
      <c r="A1798" s="22"/>
      <c r="B1798" s="23"/>
      <c r="C1798" s="23"/>
      <c r="D1798" s="24"/>
      <c r="E1798" s="23"/>
      <c r="F1798" s="15" t="str">
        <f aca="false">IF(B1798="","",IFERROR(INDEX(Configurações!$B$7:$B$30,MATCH(B1798,Configurações!$A$7:$A$30,0)),"?"))</f>
        <v/>
      </c>
      <c r="G1798" s="25" t="str">
        <f aca="false">IF(A1798="","",A1798-WEEKDAY(A1798,2)+1)</f>
        <v/>
      </c>
      <c r="H1798" s="26" t="str">
        <f aca="false">IF(A1798="","",DATE(YEAR(A1798),MONTH(A1798),1))</f>
        <v/>
      </c>
    </row>
    <row r="1799" customFormat="false" ht="15" hidden="false" customHeight="false" outlineLevel="0" collapsed="false">
      <c r="A1799" s="22"/>
      <c r="B1799" s="23"/>
      <c r="C1799" s="23"/>
      <c r="D1799" s="24"/>
      <c r="E1799" s="23"/>
      <c r="F1799" s="15" t="str">
        <f aca="false">IF(B1799="","",IFERROR(INDEX(Configurações!$B$7:$B$30,MATCH(B1799,Configurações!$A$7:$A$30,0)),"?"))</f>
        <v/>
      </c>
      <c r="G1799" s="25" t="str">
        <f aca="false">IF(A1799="","",A1799-WEEKDAY(A1799,2)+1)</f>
        <v/>
      </c>
      <c r="H1799" s="26" t="str">
        <f aca="false">IF(A1799="","",DATE(YEAR(A1799),MONTH(A1799),1))</f>
        <v/>
      </c>
    </row>
    <row r="1800" customFormat="false" ht="15" hidden="false" customHeight="false" outlineLevel="0" collapsed="false">
      <c r="A1800" s="22"/>
      <c r="B1800" s="23"/>
      <c r="C1800" s="23"/>
      <c r="D1800" s="24"/>
      <c r="E1800" s="23"/>
      <c r="F1800" s="15" t="str">
        <f aca="false">IF(B1800="","",IFERROR(INDEX(Configurações!$B$7:$B$30,MATCH(B1800,Configurações!$A$7:$A$30,0)),"?"))</f>
        <v/>
      </c>
      <c r="G1800" s="25" t="str">
        <f aca="false">IF(A1800="","",A1800-WEEKDAY(A1800,2)+1)</f>
        <v/>
      </c>
      <c r="H1800" s="26" t="str">
        <f aca="false">IF(A1800="","",DATE(YEAR(A1800),MONTH(A1800),1))</f>
        <v/>
      </c>
    </row>
    <row r="1801" customFormat="false" ht="15" hidden="false" customHeight="false" outlineLevel="0" collapsed="false">
      <c r="A1801" s="22"/>
      <c r="B1801" s="23"/>
      <c r="C1801" s="23"/>
      <c r="D1801" s="24"/>
      <c r="E1801" s="23"/>
      <c r="F1801" s="15" t="str">
        <f aca="false">IF(B1801="","",IFERROR(INDEX(Configurações!$B$7:$B$30,MATCH(B1801,Configurações!$A$7:$A$30,0)),"?"))</f>
        <v/>
      </c>
      <c r="G1801" s="25" t="str">
        <f aca="false">IF(A1801="","",A1801-WEEKDAY(A1801,2)+1)</f>
        <v/>
      </c>
      <c r="H1801" s="26" t="str">
        <f aca="false">IF(A1801="","",DATE(YEAR(A1801),MONTH(A1801),1))</f>
        <v/>
      </c>
    </row>
    <row r="1802" customFormat="false" ht="15" hidden="false" customHeight="false" outlineLevel="0" collapsed="false">
      <c r="A1802" s="22"/>
      <c r="B1802" s="23"/>
      <c r="C1802" s="23"/>
      <c r="D1802" s="24"/>
      <c r="E1802" s="23"/>
      <c r="F1802" s="15" t="str">
        <f aca="false">IF(B1802="","",IFERROR(INDEX(Configurações!$B$7:$B$30,MATCH(B1802,Configurações!$A$7:$A$30,0)),"?"))</f>
        <v/>
      </c>
      <c r="G1802" s="25" t="str">
        <f aca="false">IF(A1802="","",A1802-WEEKDAY(A1802,2)+1)</f>
        <v/>
      </c>
      <c r="H1802" s="26" t="str">
        <f aca="false">IF(A1802="","",DATE(YEAR(A1802),MONTH(A1802),1))</f>
        <v/>
      </c>
    </row>
    <row r="1803" customFormat="false" ht="15" hidden="false" customHeight="false" outlineLevel="0" collapsed="false">
      <c r="A1803" s="22"/>
      <c r="B1803" s="23"/>
      <c r="C1803" s="23"/>
      <c r="D1803" s="24"/>
      <c r="E1803" s="23"/>
      <c r="F1803" s="15" t="str">
        <f aca="false">IF(B1803="","",IFERROR(INDEX(Configurações!$B$7:$B$30,MATCH(B1803,Configurações!$A$7:$A$30,0)),"?"))</f>
        <v/>
      </c>
      <c r="G1803" s="25" t="str">
        <f aca="false">IF(A1803="","",A1803-WEEKDAY(A1803,2)+1)</f>
        <v/>
      </c>
      <c r="H1803" s="26" t="str">
        <f aca="false">IF(A1803="","",DATE(YEAR(A1803),MONTH(A1803),1))</f>
        <v/>
      </c>
    </row>
    <row r="1804" customFormat="false" ht="15" hidden="false" customHeight="false" outlineLevel="0" collapsed="false">
      <c r="A1804" s="22"/>
      <c r="B1804" s="23"/>
      <c r="C1804" s="23"/>
      <c r="D1804" s="24"/>
      <c r="E1804" s="23"/>
      <c r="F1804" s="15" t="str">
        <f aca="false">IF(B1804="","",IFERROR(INDEX(Configurações!$B$7:$B$30,MATCH(B1804,Configurações!$A$7:$A$30,0)),"?"))</f>
        <v/>
      </c>
      <c r="G1804" s="25" t="str">
        <f aca="false">IF(A1804="","",A1804-WEEKDAY(A1804,2)+1)</f>
        <v/>
      </c>
      <c r="H1804" s="26" t="str">
        <f aca="false">IF(A1804="","",DATE(YEAR(A1804),MONTH(A1804),1))</f>
        <v/>
      </c>
    </row>
    <row r="1805" customFormat="false" ht="15" hidden="false" customHeight="false" outlineLevel="0" collapsed="false">
      <c r="A1805" s="22"/>
      <c r="B1805" s="23"/>
      <c r="C1805" s="23"/>
      <c r="D1805" s="24"/>
      <c r="E1805" s="23"/>
      <c r="F1805" s="15" t="str">
        <f aca="false">IF(B1805="","",IFERROR(INDEX(Configurações!$B$7:$B$30,MATCH(B1805,Configurações!$A$7:$A$30,0)),"?"))</f>
        <v/>
      </c>
      <c r="G1805" s="25" t="str">
        <f aca="false">IF(A1805="","",A1805-WEEKDAY(A1805,2)+1)</f>
        <v/>
      </c>
      <c r="H1805" s="26" t="str">
        <f aca="false">IF(A1805="","",DATE(YEAR(A1805),MONTH(A1805),1))</f>
        <v/>
      </c>
    </row>
    <row r="1806" customFormat="false" ht="15" hidden="false" customHeight="false" outlineLevel="0" collapsed="false">
      <c r="A1806" s="22"/>
      <c r="B1806" s="23"/>
      <c r="C1806" s="23"/>
      <c r="D1806" s="24"/>
      <c r="E1806" s="23"/>
      <c r="F1806" s="15" t="str">
        <f aca="false">IF(B1806="","",IFERROR(INDEX(Configurações!$B$7:$B$30,MATCH(B1806,Configurações!$A$7:$A$30,0)),"?"))</f>
        <v/>
      </c>
      <c r="G1806" s="25" t="str">
        <f aca="false">IF(A1806="","",A1806-WEEKDAY(A1806,2)+1)</f>
        <v/>
      </c>
      <c r="H1806" s="26" t="str">
        <f aca="false">IF(A1806="","",DATE(YEAR(A1806),MONTH(A1806),1))</f>
        <v/>
      </c>
    </row>
    <row r="1807" customFormat="false" ht="15" hidden="false" customHeight="false" outlineLevel="0" collapsed="false">
      <c r="A1807" s="22"/>
      <c r="B1807" s="23"/>
      <c r="C1807" s="23"/>
      <c r="D1807" s="24"/>
      <c r="E1807" s="23"/>
      <c r="F1807" s="15" t="str">
        <f aca="false">IF(B1807="","",IFERROR(INDEX(Configurações!$B$7:$B$30,MATCH(B1807,Configurações!$A$7:$A$30,0)),"?"))</f>
        <v/>
      </c>
      <c r="G1807" s="25" t="str">
        <f aca="false">IF(A1807="","",A1807-WEEKDAY(A1807,2)+1)</f>
        <v/>
      </c>
      <c r="H1807" s="26" t="str">
        <f aca="false">IF(A1807="","",DATE(YEAR(A1807),MONTH(A1807),1))</f>
        <v/>
      </c>
    </row>
    <row r="1808" customFormat="false" ht="15" hidden="false" customHeight="false" outlineLevel="0" collapsed="false">
      <c r="A1808" s="22"/>
      <c r="B1808" s="23"/>
      <c r="C1808" s="23"/>
      <c r="D1808" s="24"/>
      <c r="E1808" s="23"/>
      <c r="F1808" s="15" t="str">
        <f aca="false">IF(B1808="","",IFERROR(INDEX(Configurações!$B$7:$B$30,MATCH(B1808,Configurações!$A$7:$A$30,0)),"?"))</f>
        <v/>
      </c>
      <c r="G1808" s="25" t="str">
        <f aca="false">IF(A1808="","",A1808-WEEKDAY(A1808,2)+1)</f>
        <v/>
      </c>
      <c r="H1808" s="26" t="str">
        <f aca="false">IF(A1808="","",DATE(YEAR(A1808),MONTH(A1808),1))</f>
        <v/>
      </c>
    </row>
    <row r="1809" customFormat="false" ht="15" hidden="false" customHeight="false" outlineLevel="0" collapsed="false">
      <c r="A1809" s="22"/>
      <c r="B1809" s="23"/>
      <c r="C1809" s="23"/>
      <c r="D1809" s="24"/>
      <c r="E1809" s="23"/>
      <c r="F1809" s="15" t="str">
        <f aca="false">IF(B1809="","",IFERROR(INDEX(Configurações!$B$7:$B$30,MATCH(B1809,Configurações!$A$7:$A$30,0)),"?"))</f>
        <v/>
      </c>
      <c r="G1809" s="25" t="str">
        <f aca="false">IF(A1809="","",A1809-WEEKDAY(A1809,2)+1)</f>
        <v/>
      </c>
      <c r="H1809" s="26" t="str">
        <f aca="false">IF(A1809="","",DATE(YEAR(A1809),MONTH(A1809),1))</f>
        <v/>
      </c>
    </row>
    <row r="1810" customFormat="false" ht="15" hidden="false" customHeight="false" outlineLevel="0" collapsed="false">
      <c r="A1810" s="22"/>
      <c r="B1810" s="23"/>
      <c r="C1810" s="23"/>
      <c r="D1810" s="24"/>
      <c r="E1810" s="23"/>
      <c r="F1810" s="15" t="str">
        <f aca="false">IF(B1810="","",IFERROR(INDEX(Configurações!$B$7:$B$30,MATCH(B1810,Configurações!$A$7:$A$30,0)),"?"))</f>
        <v/>
      </c>
      <c r="G1810" s="25" t="str">
        <f aca="false">IF(A1810="","",A1810-WEEKDAY(A1810,2)+1)</f>
        <v/>
      </c>
      <c r="H1810" s="26" t="str">
        <f aca="false">IF(A1810="","",DATE(YEAR(A1810),MONTH(A1810),1))</f>
        <v/>
      </c>
    </row>
    <row r="1811" customFormat="false" ht="15" hidden="false" customHeight="false" outlineLevel="0" collapsed="false">
      <c r="A1811" s="22"/>
      <c r="B1811" s="23"/>
      <c r="C1811" s="23"/>
      <c r="D1811" s="24"/>
      <c r="E1811" s="23"/>
      <c r="F1811" s="15" t="str">
        <f aca="false">IF(B1811="","",IFERROR(INDEX(Configurações!$B$7:$B$30,MATCH(B1811,Configurações!$A$7:$A$30,0)),"?"))</f>
        <v/>
      </c>
      <c r="G1811" s="25" t="str">
        <f aca="false">IF(A1811="","",A1811-WEEKDAY(A1811,2)+1)</f>
        <v/>
      </c>
      <c r="H1811" s="26" t="str">
        <f aca="false">IF(A1811="","",DATE(YEAR(A1811),MONTH(A1811),1))</f>
        <v/>
      </c>
    </row>
    <row r="1812" customFormat="false" ht="15" hidden="false" customHeight="false" outlineLevel="0" collapsed="false">
      <c r="A1812" s="22"/>
      <c r="B1812" s="23"/>
      <c r="C1812" s="23"/>
      <c r="D1812" s="24"/>
      <c r="E1812" s="23"/>
      <c r="F1812" s="15" t="str">
        <f aca="false">IF(B1812="","",IFERROR(INDEX(Configurações!$B$7:$B$30,MATCH(B1812,Configurações!$A$7:$A$30,0)),"?"))</f>
        <v/>
      </c>
      <c r="G1812" s="25" t="str">
        <f aca="false">IF(A1812="","",A1812-WEEKDAY(A1812,2)+1)</f>
        <v/>
      </c>
      <c r="H1812" s="26" t="str">
        <f aca="false">IF(A1812="","",DATE(YEAR(A1812),MONTH(A1812),1))</f>
        <v/>
      </c>
    </row>
    <row r="1813" customFormat="false" ht="15" hidden="false" customHeight="false" outlineLevel="0" collapsed="false">
      <c r="A1813" s="22"/>
      <c r="B1813" s="23"/>
      <c r="C1813" s="23"/>
      <c r="D1813" s="24"/>
      <c r="E1813" s="23"/>
      <c r="F1813" s="15" t="str">
        <f aca="false">IF(B1813="","",IFERROR(INDEX(Configurações!$B$7:$B$30,MATCH(B1813,Configurações!$A$7:$A$30,0)),"?"))</f>
        <v/>
      </c>
      <c r="G1813" s="25" t="str">
        <f aca="false">IF(A1813="","",A1813-WEEKDAY(A1813,2)+1)</f>
        <v/>
      </c>
      <c r="H1813" s="26" t="str">
        <f aca="false">IF(A1813="","",DATE(YEAR(A1813),MONTH(A1813),1))</f>
        <v/>
      </c>
    </row>
    <row r="1814" customFormat="false" ht="15" hidden="false" customHeight="false" outlineLevel="0" collapsed="false">
      <c r="A1814" s="22"/>
      <c r="B1814" s="23"/>
      <c r="C1814" s="23"/>
      <c r="D1814" s="24"/>
      <c r="E1814" s="23"/>
      <c r="F1814" s="15" t="str">
        <f aca="false">IF(B1814="","",IFERROR(INDEX(Configurações!$B$7:$B$30,MATCH(B1814,Configurações!$A$7:$A$30,0)),"?"))</f>
        <v/>
      </c>
      <c r="G1814" s="25" t="str">
        <f aca="false">IF(A1814="","",A1814-WEEKDAY(A1814,2)+1)</f>
        <v/>
      </c>
      <c r="H1814" s="26" t="str">
        <f aca="false">IF(A1814="","",DATE(YEAR(A1814),MONTH(A1814),1))</f>
        <v/>
      </c>
    </row>
    <row r="1815" customFormat="false" ht="15" hidden="false" customHeight="false" outlineLevel="0" collapsed="false">
      <c r="A1815" s="22"/>
      <c r="B1815" s="23"/>
      <c r="C1815" s="23"/>
      <c r="D1815" s="24"/>
      <c r="E1815" s="23"/>
      <c r="F1815" s="15" t="str">
        <f aca="false">IF(B1815="","",IFERROR(INDEX(Configurações!$B$7:$B$30,MATCH(B1815,Configurações!$A$7:$A$30,0)),"?"))</f>
        <v/>
      </c>
      <c r="G1815" s="25" t="str">
        <f aca="false">IF(A1815="","",A1815-WEEKDAY(A1815,2)+1)</f>
        <v/>
      </c>
      <c r="H1815" s="26" t="str">
        <f aca="false">IF(A1815="","",DATE(YEAR(A1815),MONTH(A1815),1))</f>
        <v/>
      </c>
    </row>
    <row r="1816" customFormat="false" ht="15" hidden="false" customHeight="false" outlineLevel="0" collapsed="false">
      <c r="A1816" s="22"/>
      <c r="B1816" s="23"/>
      <c r="C1816" s="23"/>
      <c r="D1816" s="24"/>
      <c r="E1816" s="23"/>
      <c r="F1816" s="15" t="str">
        <f aca="false">IF(B1816="","",IFERROR(INDEX(Configurações!$B$7:$B$30,MATCH(B1816,Configurações!$A$7:$A$30,0)),"?"))</f>
        <v/>
      </c>
      <c r="G1816" s="25" t="str">
        <f aca="false">IF(A1816="","",A1816-WEEKDAY(A1816,2)+1)</f>
        <v/>
      </c>
      <c r="H1816" s="26" t="str">
        <f aca="false">IF(A1816="","",DATE(YEAR(A1816),MONTH(A1816),1))</f>
        <v/>
      </c>
    </row>
    <row r="1817" customFormat="false" ht="15" hidden="false" customHeight="false" outlineLevel="0" collapsed="false">
      <c r="A1817" s="22"/>
      <c r="B1817" s="23"/>
      <c r="C1817" s="23"/>
      <c r="D1817" s="24"/>
      <c r="E1817" s="23"/>
      <c r="F1817" s="15" t="str">
        <f aca="false">IF(B1817="","",IFERROR(INDEX(Configurações!$B$7:$B$30,MATCH(B1817,Configurações!$A$7:$A$30,0)),"?"))</f>
        <v/>
      </c>
      <c r="G1817" s="25" t="str">
        <f aca="false">IF(A1817="","",A1817-WEEKDAY(A1817,2)+1)</f>
        <v/>
      </c>
      <c r="H1817" s="26" t="str">
        <f aca="false">IF(A1817="","",DATE(YEAR(A1817),MONTH(A1817),1))</f>
        <v/>
      </c>
    </row>
    <row r="1818" customFormat="false" ht="15" hidden="false" customHeight="false" outlineLevel="0" collapsed="false">
      <c r="A1818" s="22"/>
      <c r="B1818" s="23"/>
      <c r="C1818" s="23"/>
      <c r="D1818" s="24"/>
      <c r="E1818" s="23"/>
      <c r="F1818" s="15" t="str">
        <f aca="false">IF(B1818="","",IFERROR(INDEX(Configurações!$B$7:$B$30,MATCH(B1818,Configurações!$A$7:$A$30,0)),"?"))</f>
        <v/>
      </c>
      <c r="G1818" s="25" t="str">
        <f aca="false">IF(A1818="","",A1818-WEEKDAY(A1818,2)+1)</f>
        <v/>
      </c>
      <c r="H1818" s="26" t="str">
        <f aca="false">IF(A1818="","",DATE(YEAR(A1818),MONTH(A1818),1))</f>
        <v/>
      </c>
    </row>
    <row r="1819" customFormat="false" ht="15" hidden="false" customHeight="false" outlineLevel="0" collapsed="false">
      <c r="A1819" s="22"/>
      <c r="B1819" s="23"/>
      <c r="C1819" s="23"/>
      <c r="D1819" s="24"/>
      <c r="E1819" s="23"/>
      <c r="F1819" s="15" t="str">
        <f aca="false">IF(B1819="","",IFERROR(INDEX(Configurações!$B$7:$B$30,MATCH(B1819,Configurações!$A$7:$A$30,0)),"?"))</f>
        <v/>
      </c>
      <c r="G1819" s="25" t="str">
        <f aca="false">IF(A1819="","",A1819-WEEKDAY(A1819,2)+1)</f>
        <v/>
      </c>
      <c r="H1819" s="26" t="str">
        <f aca="false">IF(A1819="","",DATE(YEAR(A1819),MONTH(A1819),1))</f>
        <v/>
      </c>
    </row>
    <row r="1820" customFormat="false" ht="15" hidden="false" customHeight="false" outlineLevel="0" collapsed="false">
      <c r="A1820" s="22"/>
      <c r="B1820" s="23"/>
      <c r="C1820" s="23"/>
      <c r="D1820" s="24"/>
      <c r="E1820" s="23"/>
      <c r="F1820" s="15" t="str">
        <f aca="false">IF(B1820="","",IFERROR(INDEX(Configurações!$B$7:$B$30,MATCH(B1820,Configurações!$A$7:$A$30,0)),"?"))</f>
        <v/>
      </c>
      <c r="G1820" s="25" t="str">
        <f aca="false">IF(A1820="","",A1820-WEEKDAY(A1820,2)+1)</f>
        <v/>
      </c>
      <c r="H1820" s="26" t="str">
        <f aca="false">IF(A1820="","",DATE(YEAR(A1820),MONTH(A1820),1))</f>
        <v/>
      </c>
    </row>
    <row r="1821" customFormat="false" ht="15" hidden="false" customHeight="false" outlineLevel="0" collapsed="false">
      <c r="A1821" s="22"/>
      <c r="B1821" s="23"/>
      <c r="C1821" s="23"/>
      <c r="D1821" s="24"/>
      <c r="E1821" s="23"/>
      <c r="F1821" s="15" t="str">
        <f aca="false">IF(B1821="","",IFERROR(INDEX(Configurações!$B$7:$B$30,MATCH(B1821,Configurações!$A$7:$A$30,0)),"?"))</f>
        <v/>
      </c>
      <c r="G1821" s="25" t="str">
        <f aca="false">IF(A1821="","",A1821-WEEKDAY(A1821,2)+1)</f>
        <v/>
      </c>
      <c r="H1821" s="26" t="str">
        <f aca="false">IF(A1821="","",DATE(YEAR(A1821),MONTH(A1821),1))</f>
        <v/>
      </c>
    </row>
    <row r="1822" customFormat="false" ht="15" hidden="false" customHeight="false" outlineLevel="0" collapsed="false">
      <c r="A1822" s="22"/>
      <c r="B1822" s="23"/>
      <c r="C1822" s="23"/>
      <c r="D1822" s="24"/>
      <c r="E1822" s="23"/>
      <c r="F1822" s="15" t="str">
        <f aca="false">IF(B1822="","",IFERROR(INDEX(Configurações!$B$7:$B$30,MATCH(B1822,Configurações!$A$7:$A$30,0)),"?"))</f>
        <v/>
      </c>
      <c r="G1822" s="25" t="str">
        <f aca="false">IF(A1822="","",A1822-WEEKDAY(A1822,2)+1)</f>
        <v/>
      </c>
      <c r="H1822" s="26" t="str">
        <f aca="false">IF(A1822="","",DATE(YEAR(A1822),MONTH(A1822),1))</f>
        <v/>
      </c>
    </row>
    <row r="1823" customFormat="false" ht="15" hidden="false" customHeight="false" outlineLevel="0" collapsed="false">
      <c r="A1823" s="22"/>
      <c r="B1823" s="23"/>
      <c r="C1823" s="23"/>
      <c r="D1823" s="24"/>
      <c r="E1823" s="23"/>
      <c r="F1823" s="15" t="str">
        <f aca="false">IF(B1823="","",IFERROR(INDEX(Configurações!$B$7:$B$30,MATCH(B1823,Configurações!$A$7:$A$30,0)),"?"))</f>
        <v/>
      </c>
      <c r="G1823" s="25" t="str">
        <f aca="false">IF(A1823="","",A1823-WEEKDAY(A1823,2)+1)</f>
        <v/>
      </c>
      <c r="H1823" s="26" t="str">
        <f aca="false">IF(A1823="","",DATE(YEAR(A1823),MONTH(A1823),1))</f>
        <v/>
      </c>
    </row>
    <row r="1824" customFormat="false" ht="15" hidden="false" customHeight="false" outlineLevel="0" collapsed="false">
      <c r="A1824" s="22"/>
      <c r="B1824" s="23"/>
      <c r="C1824" s="23"/>
      <c r="D1824" s="24"/>
      <c r="E1824" s="23"/>
      <c r="F1824" s="15" t="str">
        <f aca="false">IF(B1824="","",IFERROR(INDEX(Configurações!$B$7:$B$30,MATCH(B1824,Configurações!$A$7:$A$30,0)),"?"))</f>
        <v/>
      </c>
      <c r="G1824" s="25" t="str">
        <f aca="false">IF(A1824="","",A1824-WEEKDAY(A1824,2)+1)</f>
        <v/>
      </c>
      <c r="H1824" s="26" t="str">
        <f aca="false">IF(A1824="","",DATE(YEAR(A1824),MONTH(A1824),1))</f>
        <v/>
      </c>
    </row>
    <row r="1825" customFormat="false" ht="15" hidden="false" customHeight="false" outlineLevel="0" collapsed="false">
      <c r="A1825" s="22"/>
      <c r="B1825" s="23"/>
      <c r="C1825" s="23"/>
      <c r="D1825" s="24"/>
      <c r="E1825" s="23"/>
      <c r="F1825" s="15" t="str">
        <f aca="false">IF(B1825="","",IFERROR(INDEX(Configurações!$B$7:$B$30,MATCH(B1825,Configurações!$A$7:$A$30,0)),"?"))</f>
        <v/>
      </c>
      <c r="G1825" s="25" t="str">
        <f aca="false">IF(A1825="","",A1825-WEEKDAY(A1825,2)+1)</f>
        <v/>
      </c>
      <c r="H1825" s="26" t="str">
        <f aca="false">IF(A1825="","",DATE(YEAR(A1825),MONTH(A1825),1))</f>
        <v/>
      </c>
    </row>
    <row r="1826" customFormat="false" ht="15" hidden="false" customHeight="false" outlineLevel="0" collapsed="false">
      <c r="A1826" s="22"/>
      <c r="B1826" s="23"/>
      <c r="C1826" s="23"/>
      <c r="D1826" s="24"/>
      <c r="E1826" s="23"/>
      <c r="F1826" s="15" t="str">
        <f aca="false">IF(B1826="","",IFERROR(INDEX(Configurações!$B$7:$B$30,MATCH(B1826,Configurações!$A$7:$A$30,0)),"?"))</f>
        <v/>
      </c>
      <c r="G1826" s="25" t="str">
        <f aca="false">IF(A1826="","",A1826-WEEKDAY(A1826,2)+1)</f>
        <v/>
      </c>
      <c r="H1826" s="26" t="str">
        <f aca="false">IF(A1826="","",DATE(YEAR(A1826),MONTH(A1826),1))</f>
        <v/>
      </c>
    </row>
    <row r="1827" customFormat="false" ht="15" hidden="false" customHeight="false" outlineLevel="0" collapsed="false">
      <c r="A1827" s="22"/>
      <c r="B1827" s="23"/>
      <c r="C1827" s="23"/>
      <c r="D1827" s="24"/>
      <c r="E1827" s="23"/>
      <c r="F1827" s="15" t="str">
        <f aca="false">IF(B1827="","",IFERROR(INDEX(Configurações!$B$7:$B$30,MATCH(B1827,Configurações!$A$7:$A$30,0)),"?"))</f>
        <v/>
      </c>
      <c r="G1827" s="25" t="str">
        <f aca="false">IF(A1827="","",A1827-WEEKDAY(A1827,2)+1)</f>
        <v/>
      </c>
      <c r="H1827" s="26" t="str">
        <f aca="false">IF(A1827="","",DATE(YEAR(A1827),MONTH(A1827),1))</f>
        <v/>
      </c>
    </row>
    <row r="1828" customFormat="false" ht="15" hidden="false" customHeight="false" outlineLevel="0" collapsed="false">
      <c r="A1828" s="22"/>
      <c r="B1828" s="23"/>
      <c r="C1828" s="23"/>
      <c r="D1828" s="24"/>
      <c r="E1828" s="23"/>
      <c r="F1828" s="15" t="str">
        <f aca="false">IF(B1828="","",IFERROR(INDEX(Configurações!$B$7:$B$30,MATCH(B1828,Configurações!$A$7:$A$30,0)),"?"))</f>
        <v/>
      </c>
      <c r="G1828" s="25" t="str">
        <f aca="false">IF(A1828="","",A1828-WEEKDAY(A1828,2)+1)</f>
        <v/>
      </c>
      <c r="H1828" s="26" t="str">
        <f aca="false">IF(A1828="","",DATE(YEAR(A1828),MONTH(A1828),1))</f>
        <v/>
      </c>
    </row>
    <row r="1829" customFormat="false" ht="15" hidden="false" customHeight="false" outlineLevel="0" collapsed="false">
      <c r="A1829" s="22"/>
      <c r="B1829" s="23"/>
      <c r="C1829" s="23"/>
      <c r="D1829" s="24"/>
      <c r="E1829" s="23"/>
      <c r="F1829" s="15" t="str">
        <f aca="false">IF(B1829="","",IFERROR(INDEX(Configurações!$B$7:$B$30,MATCH(B1829,Configurações!$A$7:$A$30,0)),"?"))</f>
        <v/>
      </c>
      <c r="G1829" s="25" t="str">
        <f aca="false">IF(A1829="","",A1829-WEEKDAY(A1829,2)+1)</f>
        <v/>
      </c>
      <c r="H1829" s="26" t="str">
        <f aca="false">IF(A1829="","",DATE(YEAR(A1829),MONTH(A1829),1))</f>
        <v/>
      </c>
    </row>
    <row r="1830" customFormat="false" ht="15" hidden="false" customHeight="false" outlineLevel="0" collapsed="false">
      <c r="A1830" s="22"/>
      <c r="B1830" s="23"/>
      <c r="C1830" s="23"/>
      <c r="D1830" s="24"/>
      <c r="E1830" s="23"/>
      <c r="F1830" s="15" t="str">
        <f aca="false">IF(B1830="","",IFERROR(INDEX(Configurações!$B$7:$B$30,MATCH(B1830,Configurações!$A$7:$A$30,0)),"?"))</f>
        <v/>
      </c>
      <c r="G1830" s="25" t="str">
        <f aca="false">IF(A1830="","",A1830-WEEKDAY(A1830,2)+1)</f>
        <v/>
      </c>
      <c r="H1830" s="26" t="str">
        <f aca="false">IF(A1830="","",DATE(YEAR(A1830),MONTH(A1830),1))</f>
        <v/>
      </c>
    </row>
    <row r="1831" customFormat="false" ht="15" hidden="false" customHeight="false" outlineLevel="0" collapsed="false">
      <c r="A1831" s="22"/>
      <c r="B1831" s="23"/>
      <c r="C1831" s="23"/>
      <c r="D1831" s="24"/>
      <c r="E1831" s="23"/>
      <c r="F1831" s="15" t="str">
        <f aca="false">IF(B1831="","",IFERROR(INDEX(Configurações!$B$7:$B$30,MATCH(B1831,Configurações!$A$7:$A$30,0)),"?"))</f>
        <v/>
      </c>
      <c r="G1831" s="25" t="str">
        <f aca="false">IF(A1831="","",A1831-WEEKDAY(A1831,2)+1)</f>
        <v/>
      </c>
      <c r="H1831" s="26" t="str">
        <f aca="false">IF(A1831="","",DATE(YEAR(A1831),MONTH(A1831),1))</f>
        <v/>
      </c>
    </row>
    <row r="1832" customFormat="false" ht="15" hidden="false" customHeight="false" outlineLevel="0" collapsed="false">
      <c r="A1832" s="22"/>
      <c r="B1832" s="23"/>
      <c r="C1832" s="23"/>
      <c r="D1832" s="24"/>
      <c r="E1832" s="23"/>
      <c r="F1832" s="15" t="str">
        <f aca="false">IF(B1832="","",IFERROR(INDEX(Configurações!$B$7:$B$30,MATCH(B1832,Configurações!$A$7:$A$30,0)),"?"))</f>
        <v/>
      </c>
      <c r="G1832" s="25" t="str">
        <f aca="false">IF(A1832="","",A1832-WEEKDAY(A1832,2)+1)</f>
        <v/>
      </c>
      <c r="H1832" s="26" t="str">
        <f aca="false">IF(A1832="","",DATE(YEAR(A1832),MONTH(A1832),1))</f>
        <v/>
      </c>
    </row>
    <row r="1833" customFormat="false" ht="15" hidden="false" customHeight="false" outlineLevel="0" collapsed="false">
      <c r="A1833" s="22"/>
      <c r="B1833" s="23"/>
      <c r="C1833" s="23"/>
      <c r="D1833" s="24"/>
      <c r="E1833" s="23"/>
      <c r="F1833" s="15" t="str">
        <f aca="false">IF(B1833="","",IFERROR(INDEX(Configurações!$B$7:$B$30,MATCH(B1833,Configurações!$A$7:$A$30,0)),"?"))</f>
        <v/>
      </c>
      <c r="G1833" s="25" t="str">
        <f aca="false">IF(A1833="","",A1833-WEEKDAY(A1833,2)+1)</f>
        <v/>
      </c>
      <c r="H1833" s="26" t="str">
        <f aca="false">IF(A1833="","",DATE(YEAR(A1833),MONTH(A1833),1))</f>
        <v/>
      </c>
    </row>
    <row r="1834" customFormat="false" ht="15" hidden="false" customHeight="false" outlineLevel="0" collapsed="false">
      <c r="A1834" s="22"/>
      <c r="B1834" s="23"/>
      <c r="C1834" s="23"/>
      <c r="D1834" s="24"/>
      <c r="E1834" s="23"/>
      <c r="F1834" s="15" t="str">
        <f aca="false">IF(B1834="","",IFERROR(INDEX(Configurações!$B$7:$B$30,MATCH(B1834,Configurações!$A$7:$A$30,0)),"?"))</f>
        <v/>
      </c>
      <c r="G1834" s="25" t="str">
        <f aca="false">IF(A1834="","",A1834-WEEKDAY(A1834,2)+1)</f>
        <v/>
      </c>
      <c r="H1834" s="26" t="str">
        <f aca="false">IF(A1834="","",DATE(YEAR(A1834),MONTH(A1834),1))</f>
        <v/>
      </c>
    </row>
    <row r="1835" customFormat="false" ht="15" hidden="false" customHeight="false" outlineLevel="0" collapsed="false">
      <c r="A1835" s="22"/>
      <c r="B1835" s="23"/>
      <c r="C1835" s="23"/>
      <c r="D1835" s="24"/>
      <c r="E1835" s="23"/>
      <c r="F1835" s="15" t="str">
        <f aca="false">IF(B1835="","",IFERROR(INDEX(Configurações!$B$7:$B$30,MATCH(B1835,Configurações!$A$7:$A$30,0)),"?"))</f>
        <v/>
      </c>
      <c r="G1835" s="25" t="str">
        <f aca="false">IF(A1835="","",A1835-WEEKDAY(A1835,2)+1)</f>
        <v/>
      </c>
      <c r="H1835" s="26" t="str">
        <f aca="false">IF(A1835="","",DATE(YEAR(A1835),MONTH(A1835),1))</f>
        <v/>
      </c>
    </row>
    <row r="1836" customFormat="false" ht="15" hidden="false" customHeight="false" outlineLevel="0" collapsed="false">
      <c r="A1836" s="22"/>
      <c r="B1836" s="23"/>
      <c r="C1836" s="23"/>
      <c r="D1836" s="24"/>
      <c r="E1836" s="23"/>
      <c r="F1836" s="15" t="str">
        <f aca="false">IF(B1836="","",IFERROR(INDEX(Configurações!$B$7:$B$30,MATCH(B1836,Configurações!$A$7:$A$30,0)),"?"))</f>
        <v/>
      </c>
      <c r="G1836" s="25" t="str">
        <f aca="false">IF(A1836="","",A1836-WEEKDAY(A1836,2)+1)</f>
        <v/>
      </c>
      <c r="H1836" s="26" t="str">
        <f aca="false">IF(A1836="","",DATE(YEAR(A1836),MONTH(A1836),1))</f>
        <v/>
      </c>
    </row>
    <row r="1837" customFormat="false" ht="15" hidden="false" customHeight="false" outlineLevel="0" collapsed="false">
      <c r="A1837" s="22"/>
      <c r="B1837" s="23"/>
      <c r="C1837" s="23"/>
      <c r="D1837" s="24"/>
      <c r="E1837" s="23"/>
      <c r="F1837" s="15" t="str">
        <f aca="false">IF(B1837="","",IFERROR(INDEX(Configurações!$B$7:$B$30,MATCH(B1837,Configurações!$A$7:$A$30,0)),"?"))</f>
        <v/>
      </c>
      <c r="G1837" s="25" t="str">
        <f aca="false">IF(A1837="","",A1837-WEEKDAY(A1837,2)+1)</f>
        <v/>
      </c>
      <c r="H1837" s="26" t="str">
        <f aca="false">IF(A1837="","",DATE(YEAR(A1837),MONTH(A1837),1))</f>
        <v/>
      </c>
    </row>
    <row r="1838" customFormat="false" ht="15" hidden="false" customHeight="false" outlineLevel="0" collapsed="false">
      <c r="A1838" s="22"/>
      <c r="B1838" s="23"/>
      <c r="C1838" s="23"/>
      <c r="D1838" s="24"/>
      <c r="E1838" s="23"/>
      <c r="F1838" s="15" t="str">
        <f aca="false">IF(B1838="","",IFERROR(INDEX(Configurações!$B$7:$B$30,MATCH(B1838,Configurações!$A$7:$A$30,0)),"?"))</f>
        <v/>
      </c>
      <c r="G1838" s="25" t="str">
        <f aca="false">IF(A1838="","",A1838-WEEKDAY(A1838,2)+1)</f>
        <v/>
      </c>
      <c r="H1838" s="26" t="str">
        <f aca="false">IF(A1838="","",DATE(YEAR(A1838),MONTH(A1838),1))</f>
        <v/>
      </c>
    </row>
    <row r="1839" customFormat="false" ht="15" hidden="false" customHeight="false" outlineLevel="0" collapsed="false">
      <c r="A1839" s="22"/>
      <c r="B1839" s="23"/>
      <c r="C1839" s="23"/>
      <c r="D1839" s="24"/>
      <c r="E1839" s="23"/>
      <c r="F1839" s="15" t="str">
        <f aca="false">IF(B1839="","",IFERROR(INDEX(Configurações!$B$7:$B$30,MATCH(B1839,Configurações!$A$7:$A$30,0)),"?"))</f>
        <v/>
      </c>
      <c r="G1839" s="25" t="str">
        <f aca="false">IF(A1839="","",A1839-WEEKDAY(A1839,2)+1)</f>
        <v/>
      </c>
      <c r="H1839" s="26" t="str">
        <f aca="false">IF(A1839="","",DATE(YEAR(A1839),MONTH(A1839),1))</f>
        <v/>
      </c>
    </row>
    <row r="1840" customFormat="false" ht="15" hidden="false" customHeight="false" outlineLevel="0" collapsed="false">
      <c r="A1840" s="22"/>
      <c r="B1840" s="23"/>
      <c r="C1840" s="23"/>
      <c r="D1840" s="24"/>
      <c r="E1840" s="23"/>
      <c r="F1840" s="15" t="str">
        <f aca="false">IF(B1840="","",IFERROR(INDEX(Configurações!$B$7:$B$30,MATCH(B1840,Configurações!$A$7:$A$30,0)),"?"))</f>
        <v/>
      </c>
      <c r="G1840" s="25" t="str">
        <f aca="false">IF(A1840="","",A1840-WEEKDAY(A1840,2)+1)</f>
        <v/>
      </c>
      <c r="H1840" s="26" t="str">
        <f aca="false">IF(A1840="","",DATE(YEAR(A1840),MONTH(A1840),1))</f>
        <v/>
      </c>
    </row>
    <row r="1841" customFormat="false" ht="15" hidden="false" customHeight="false" outlineLevel="0" collapsed="false">
      <c r="A1841" s="22"/>
      <c r="B1841" s="23"/>
      <c r="C1841" s="23"/>
      <c r="D1841" s="24"/>
      <c r="E1841" s="23"/>
      <c r="F1841" s="15" t="str">
        <f aca="false">IF(B1841="","",IFERROR(INDEX(Configurações!$B$7:$B$30,MATCH(B1841,Configurações!$A$7:$A$30,0)),"?"))</f>
        <v/>
      </c>
      <c r="G1841" s="25" t="str">
        <f aca="false">IF(A1841="","",A1841-WEEKDAY(A1841,2)+1)</f>
        <v/>
      </c>
      <c r="H1841" s="26" t="str">
        <f aca="false">IF(A1841="","",DATE(YEAR(A1841),MONTH(A1841),1))</f>
        <v/>
      </c>
    </row>
    <row r="1842" customFormat="false" ht="15" hidden="false" customHeight="false" outlineLevel="0" collapsed="false">
      <c r="A1842" s="22"/>
      <c r="B1842" s="23"/>
      <c r="C1842" s="23"/>
      <c r="D1842" s="24"/>
      <c r="E1842" s="23"/>
      <c r="F1842" s="15" t="str">
        <f aca="false">IF(B1842="","",IFERROR(INDEX(Configurações!$B$7:$B$30,MATCH(B1842,Configurações!$A$7:$A$30,0)),"?"))</f>
        <v/>
      </c>
      <c r="G1842" s="25" t="str">
        <f aca="false">IF(A1842="","",A1842-WEEKDAY(A1842,2)+1)</f>
        <v/>
      </c>
      <c r="H1842" s="26" t="str">
        <f aca="false">IF(A1842="","",DATE(YEAR(A1842),MONTH(A1842),1))</f>
        <v/>
      </c>
    </row>
    <row r="1843" customFormat="false" ht="15" hidden="false" customHeight="false" outlineLevel="0" collapsed="false">
      <c r="A1843" s="22"/>
      <c r="B1843" s="23"/>
      <c r="C1843" s="23"/>
      <c r="D1843" s="24"/>
      <c r="E1843" s="23"/>
      <c r="F1843" s="15" t="str">
        <f aca="false">IF(B1843="","",IFERROR(INDEX(Configurações!$B$7:$B$30,MATCH(B1843,Configurações!$A$7:$A$30,0)),"?"))</f>
        <v/>
      </c>
      <c r="G1843" s="25" t="str">
        <f aca="false">IF(A1843="","",A1843-WEEKDAY(A1843,2)+1)</f>
        <v/>
      </c>
      <c r="H1843" s="26" t="str">
        <f aca="false">IF(A1843="","",DATE(YEAR(A1843),MONTH(A1843),1))</f>
        <v/>
      </c>
    </row>
    <row r="1844" customFormat="false" ht="15" hidden="false" customHeight="false" outlineLevel="0" collapsed="false">
      <c r="A1844" s="22"/>
      <c r="B1844" s="23"/>
      <c r="C1844" s="23"/>
      <c r="D1844" s="24"/>
      <c r="E1844" s="23"/>
      <c r="F1844" s="15" t="str">
        <f aca="false">IF(B1844="","",IFERROR(INDEX(Configurações!$B$7:$B$30,MATCH(B1844,Configurações!$A$7:$A$30,0)),"?"))</f>
        <v/>
      </c>
      <c r="G1844" s="25" t="str">
        <f aca="false">IF(A1844="","",A1844-WEEKDAY(A1844,2)+1)</f>
        <v/>
      </c>
      <c r="H1844" s="26" t="str">
        <f aca="false">IF(A1844="","",DATE(YEAR(A1844),MONTH(A1844),1))</f>
        <v/>
      </c>
    </row>
    <row r="1845" customFormat="false" ht="15" hidden="false" customHeight="false" outlineLevel="0" collapsed="false">
      <c r="A1845" s="22"/>
      <c r="B1845" s="23"/>
      <c r="C1845" s="23"/>
      <c r="D1845" s="24"/>
      <c r="E1845" s="23"/>
      <c r="F1845" s="15" t="str">
        <f aca="false">IF(B1845="","",IFERROR(INDEX(Configurações!$B$7:$B$30,MATCH(B1845,Configurações!$A$7:$A$30,0)),"?"))</f>
        <v/>
      </c>
      <c r="G1845" s="25" t="str">
        <f aca="false">IF(A1845="","",A1845-WEEKDAY(A1845,2)+1)</f>
        <v/>
      </c>
      <c r="H1845" s="26" t="str">
        <f aca="false">IF(A1845="","",DATE(YEAR(A1845),MONTH(A1845),1))</f>
        <v/>
      </c>
    </row>
    <row r="1846" customFormat="false" ht="15" hidden="false" customHeight="false" outlineLevel="0" collapsed="false">
      <c r="A1846" s="22"/>
      <c r="B1846" s="23"/>
      <c r="C1846" s="23"/>
      <c r="D1846" s="24"/>
      <c r="E1846" s="23"/>
      <c r="F1846" s="15" t="str">
        <f aca="false">IF(B1846="","",IFERROR(INDEX(Configurações!$B$7:$B$30,MATCH(B1846,Configurações!$A$7:$A$30,0)),"?"))</f>
        <v/>
      </c>
      <c r="G1846" s="25" t="str">
        <f aca="false">IF(A1846="","",A1846-WEEKDAY(A1846,2)+1)</f>
        <v/>
      </c>
      <c r="H1846" s="26" t="str">
        <f aca="false">IF(A1846="","",DATE(YEAR(A1846),MONTH(A1846),1))</f>
        <v/>
      </c>
    </row>
    <row r="1847" customFormat="false" ht="15" hidden="false" customHeight="false" outlineLevel="0" collapsed="false">
      <c r="A1847" s="22"/>
      <c r="B1847" s="23"/>
      <c r="C1847" s="23"/>
      <c r="D1847" s="24"/>
      <c r="E1847" s="23"/>
      <c r="F1847" s="15" t="str">
        <f aca="false">IF(B1847="","",IFERROR(INDEX(Configurações!$B$7:$B$30,MATCH(B1847,Configurações!$A$7:$A$30,0)),"?"))</f>
        <v/>
      </c>
      <c r="G1847" s="25" t="str">
        <f aca="false">IF(A1847="","",A1847-WEEKDAY(A1847,2)+1)</f>
        <v/>
      </c>
      <c r="H1847" s="26" t="str">
        <f aca="false">IF(A1847="","",DATE(YEAR(A1847),MONTH(A1847),1))</f>
        <v/>
      </c>
    </row>
    <row r="1848" customFormat="false" ht="15" hidden="false" customHeight="false" outlineLevel="0" collapsed="false">
      <c r="A1848" s="22"/>
      <c r="B1848" s="23"/>
      <c r="C1848" s="23"/>
      <c r="D1848" s="24"/>
      <c r="E1848" s="23"/>
      <c r="F1848" s="15" t="str">
        <f aca="false">IF(B1848="","",IFERROR(INDEX(Configurações!$B$7:$B$30,MATCH(B1848,Configurações!$A$7:$A$30,0)),"?"))</f>
        <v/>
      </c>
      <c r="G1848" s="25" t="str">
        <f aca="false">IF(A1848="","",A1848-WEEKDAY(A1848,2)+1)</f>
        <v/>
      </c>
      <c r="H1848" s="26" t="str">
        <f aca="false">IF(A1848="","",DATE(YEAR(A1848),MONTH(A1848),1))</f>
        <v/>
      </c>
    </row>
    <row r="1849" customFormat="false" ht="15" hidden="false" customHeight="false" outlineLevel="0" collapsed="false">
      <c r="A1849" s="22"/>
      <c r="B1849" s="23"/>
      <c r="C1849" s="23"/>
      <c r="D1849" s="24"/>
      <c r="E1849" s="23"/>
      <c r="F1849" s="15" t="str">
        <f aca="false">IF(B1849="","",IFERROR(INDEX(Configurações!$B$7:$B$30,MATCH(B1849,Configurações!$A$7:$A$30,0)),"?"))</f>
        <v/>
      </c>
      <c r="G1849" s="25" t="str">
        <f aca="false">IF(A1849="","",A1849-WEEKDAY(A1849,2)+1)</f>
        <v/>
      </c>
      <c r="H1849" s="26" t="str">
        <f aca="false">IF(A1849="","",DATE(YEAR(A1849),MONTH(A1849),1))</f>
        <v/>
      </c>
    </row>
    <row r="1850" customFormat="false" ht="15" hidden="false" customHeight="false" outlineLevel="0" collapsed="false">
      <c r="A1850" s="22"/>
      <c r="B1850" s="23"/>
      <c r="C1850" s="23"/>
      <c r="D1850" s="24"/>
      <c r="E1850" s="23"/>
      <c r="F1850" s="15" t="str">
        <f aca="false">IF(B1850="","",IFERROR(INDEX(Configurações!$B$7:$B$30,MATCH(B1850,Configurações!$A$7:$A$30,0)),"?"))</f>
        <v/>
      </c>
      <c r="G1850" s="25" t="str">
        <f aca="false">IF(A1850="","",A1850-WEEKDAY(A1850,2)+1)</f>
        <v/>
      </c>
      <c r="H1850" s="26" t="str">
        <f aca="false">IF(A1850="","",DATE(YEAR(A1850),MONTH(A1850),1))</f>
        <v/>
      </c>
    </row>
    <row r="1851" customFormat="false" ht="15" hidden="false" customHeight="false" outlineLevel="0" collapsed="false">
      <c r="A1851" s="22"/>
      <c r="B1851" s="23"/>
      <c r="C1851" s="23"/>
      <c r="D1851" s="24"/>
      <c r="E1851" s="23"/>
      <c r="F1851" s="15" t="str">
        <f aca="false">IF(B1851="","",IFERROR(INDEX(Configurações!$B$7:$B$30,MATCH(B1851,Configurações!$A$7:$A$30,0)),"?"))</f>
        <v/>
      </c>
      <c r="G1851" s="25" t="str">
        <f aca="false">IF(A1851="","",A1851-WEEKDAY(A1851,2)+1)</f>
        <v/>
      </c>
      <c r="H1851" s="26" t="str">
        <f aca="false">IF(A1851="","",DATE(YEAR(A1851),MONTH(A1851),1))</f>
        <v/>
      </c>
    </row>
    <row r="1852" customFormat="false" ht="15" hidden="false" customHeight="false" outlineLevel="0" collapsed="false">
      <c r="A1852" s="22"/>
      <c r="B1852" s="23"/>
      <c r="C1852" s="23"/>
      <c r="D1852" s="24"/>
      <c r="E1852" s="23"/>
      <c r="F1852" s="15" t="str">
        <f aca="false">IF(B1852="","",IFERROR(INDEX(Configurações!$B$7:$B$30,MATCH(B1852,Configurações!$A$7:$A$30,0)),"?"))</f>
        <v/>
      </c>
      <c r="G1852" s="25" t="str">
        <f aca="false">IF(A1852="","",A1852-WEEKDAY(A1852,2)+1)</f>
        <v/>
      </c>
      <c r="H1852" s="26" t="str">
        <f aca="false">IF(A1852="","",DATE(YEAR(A1852),MONTH(A1852),1))</f>
        <v/>
      </c>
    </row>
    <row r="1853" customFormat="false" ht="15" hidden="false" customHeight="false" outlineLevel="0" collapsed="false">
      <c r="A1853" s="22"/>
      <c r="B1853" s="23"/>
      <c r="C1853" s="23"/>
      <c r="D1853" s="24"/>
      <c r="E1853" s="23"/>
      <c r="F1853" s="15" t="str">
        <f aca="false">IF(B1853="","",IFERROR(INDEX(Configurações!$B$7:$B$30,MATCH(B1853,Configurações!$A$7:$A$30,0)),"?"))</f>
        <v/>
      </c>
      <c r="G1853" s="25" t="str">
        <f aca="false">IF(A1853="","",A1853-WEEKDAY(A1853,2)+1)</f>
        <v/>
      </c>
      <c r="H1853" s="26" t="str">
        <f aca="false">IF(A1853="","",DATE(YEAR(A1853),MONTH(A1853),1))</f>
        <v/>
      </c>
    </row>
    <row r="1854" customFormat="false" ht="15" hidden="false" customHeight="false" outlineLevel="0" collapsed="false">
      <c r="A1854" s="22"/>
      <c r="B1854" s="23"/>
      <c r="C1854" s="23"/>
      <c r="D1854" s="24"/>
      <c r="E1854" s="23"/>
      <c r="F1854" s="15" t="str">
        <f aca="false">IF(B1854="","",IFERROR(INDEX(Configurações!$B$7:$B$30,MATCH(B1854,Configurações!$A$7:$A$30,0)),"?"))</f>
        <v/>
      </c>
      <c r="G1854" s="25" t="str">
        <f aca="false">IF(A1854="","",A1854-WEEKDAY(A1854,2)+1)</f>
        <v/>
      </c>
      <c r="H1854" s="26" t="str">
        <f aca="false">IF(A1854="","",DATE(YEAR(A1854),MONTH(A1854),1))</f>
        <v/>
      </c>
    </row>
    <row r="1855" customFormat="false" ht="15" hidden="false" customHeight="false" outlineLevel="0" collapsed="false">
      <c r="A1855" s="22"/>
      <c r="B1855" s="23"/>
      <c r="C1855" s="23"/>
      <c r="D1855" s="24"/>
      <c r="E1855" s="23"/>
      <c r="F1855" s="15" t="str">
        <f aca="false">IF(B1855="","",IFERROR(INDEX(Configurações!$B$7:$B$30,MATCH(B1855,Configurações!$A$7:$A$30,0)),"?"))</f>
        <v/>
      </c>
      <c r="G1855" s="25" t="str">
        <f aca="false">IF(A1855="","",A1855-WEEKDAY(A1855,2)+1)</f>
        <v/>
      </c>
      <c r="H1855" s="26" t="str">
        <f aca="false">IF(A1855="","",DATE(YEAR(A1855),MONTH(A1855),1))</f>
        <v/>
      </c>
    </row>
    <row r="1856" customFormat="false" ht="15" hidden="false" customHeight="false" outlineLevel="0" collapsed="false">
      <c r="A1856" s="22"/>
      <c r="B1856" s="23"/>
      <c r="C1856" s="23"/>
      <c r="D1856" s="24"/>
      <c r="E1856" s="23"/>
      <c r="F1856" s="15" t="str">
        <f aca="false">IF(B1856="","",IFERROR(INDEX(Configurações!$B$7:$B$30,MATCH(B1856,Configurações!$A$7:$A$30,0)),"?"))</f>
        <v/>
      </c>
      <c r="G1856" s="25" t="str">
        <f aca="false">IF(A1856="","",A1856-WEEKDAY(A1856,2)+1)</f>
        <v/>
      </c>
      <c r="H1856" s="26" t="str">
        <f aca="false">IF(A1856="","",DATE(YEAR(A1856),MONTH(A1856),1))</f>
        <v/>
      </c>
    </row>
    <row r="1857" customFormat="false" ht="15" hidden="false" customHeight="false" outlineLevel="0" collapsed="false">
      <c r="A1857" s="22"/>
      <c r="B1857" s="23"/>
      <c r="C1857" s="23"/>
      <c r="D1857" s="24"/>
      <c r="E1857" s="23"/>
      <c r="F1857" s="15" t="str">
        <f aca="false">IF(B1857="","",IFERROR(INDEX(Configurações!$B$7:$B$30,MATCH(B1857,Configurações!$A$7:$A$30,0)),"?"))</f>
        <v/>
      </c>
      <c r="G1857" s="25" t="str">
        <f aca="false">IF(A1857="","",A1857-WEEKDAY(A1857,2)+1)</f>
        <v/>
      </c>
      <c r="H1857" s="26" t="str">
        <f aca="false">IF(A1857="","",DATE(YEAR(A1857),MONTH(A1857),1))</f>
        <v/>
      </c>
    </row>
    <row r="1858" customFormat="false" ht="15" hidden="false" customHeight="false" outlineLevel="0" collapsed="false">
      <c r="A1858" s="22"/>
      <c r="B1858" s="23"/>
      <c r="C1858" s="23"/>
      <c r="D1858" s="24"/>
      <c r="E1858" s="23"/>
      <c r="F1858" s="15" t="str">
        <f aca="false">IF(B1858="","",IFERROR(INDEX(Configurações!$B$7:$B$30,MATCH(B1858,Configurações!$A$7:$A$30,0)),"?"))</f>
        <v/>
      </c>
      <c r="G1858" s="25" t="str">
        <f aca="false">IF(A1858="","",A1858-WEEKDAY(A1858,2)+1)</f>
        <v/>
      </c>
      <c r="H1858" s="26" t="str">
        <f aca="false">IF(A1858="","",DATE(YEAR(A1858),MONTH(A1858),1))</f>
        <v/>
      </c>
    </row>
    <row r="1859" customFormat="false" ht="15" hidden="false" customHeight="false" outlineLevel="0" collapsed="false">
      <c r="A1859" s="22"/>
      <c r="B1859" s="23"/>
      <c r="C1859" s="23"/>
      <c r="D1859" s="24"/>
      <c r="E1859" s="23"/>
      <c r="F1859" s="15" t="str">
        <f aca="false">IF(B1859="","",IFERROR(INDEX(Configurações!$B$7:$B$30,MATCH(B1859,Configurações!$A$7:$A$30,0)),"?"))</f>
        <v/>
      </c>
      <c r="G1859" s="25" t="str">
        <f aca="false">IF(A1859="","",A1859-WEEKDAY(A1859,2)+1)</f>
        <v/>
      </c>
      <c r="H1859" s="26" t="str">
        <f aca="false">IF(A1859="","",DATE(YEAR(A1859),MONTH(A1859),1))</f>
        <v/>
      </c>
    </row>
    <row r="1860" customFormat="false" ht="15" hidden="false" customHeight="false" outlineLevel="0" collapsed="false">
      <c r="A1860" s="22"/>
      <c r="B1860" s="23"/>
      <c r="C1860" s="23"/>
      <c r="D1860" s="24"/>
      <c r="E1860" s="23"/>
      <c r="F1860" s="15" t="str">
        <f aca="false">IF(B1860="","",IFERROR(INDEX(Configurações!$B$7:$B$30,MATCH(B1860,Configurações!$A$7:$A$30,0)),"?"))</f>
        <v/>
      </c>
      <c r="G1860" s="25" t="str">
        <f aca="false">IF(A1860="","",A1860-WEEKDAY(A1860,2)+1)</f>
        <v/>
      </c>
      <c r="H1860" s="26" t="str">
        <f aca="false">IF(A1860="","",DATE(YEAR(A1860),MONTH(A1860),1))</f>
        <v/>
      </c>
    </row>
    <row r="1861" customFormat="false" ht="15" hidden="false" customHeight="false" outlineLevel="0" collapsed="false">
      <c r="A1861" s="22"/>
      <c r="B1861" s="23"/>
      <c r="C1861" s="23"/>
      <c r="D1861" s="24"/>
      <c r="E1861" s="23"/>
      <c r="F1861" s="15" t="str">
        <f aca="false">IF(B1861="","",IFERROR(INDEX(Configurações!$B$7:$B$30,MATCH(B1861,Configurações!$A$7:$A$30,0)),"?"))</f>
        <v/>
      </c>
      <c r="G1861" s="25" t="str">
        <f aca="false">IF(A1861="","",A1861-WEEKDAY(A1861,2)+1)</f>
        <v/>
      </c>
      <c r="H1861" s="26" t="str">
        <f aca="false">IF(A1861="","",DATE(YEAR(A1861),MONTH(A1861),1))</f>
        <v/>
      </c>
    </row>
    <row r="1862" customFormat="false" ht="15" hidden="false" customHeight="false" outlineLevel="0" collapsed="false">
      <c r="A1862" s="22"/>
      <c r="B1862" s="23"/>
      <c r="C1862" s="23"/>
      <c r="D1862" s="24"/>
      <c r="E1862" s="23"/>
      <c r="F1862" s="15" t="str">
        <f aca="false">IF(B1862="","",IFERROR(INDEX(Configurações!$B$7:$B$30,MATCH(B1862,Configurações!$A$7:$A$30,0)),"?"))</f>
        <v/>
      </c>
      <c r="G1862" s="25" t="str">
        <f aca="false">IF(A1862="","",A1862-WEEKDAY(A1862,2)+1)</f>
        <v/>
      </c>
      <c r="H1862" s="26" t="str">
        <f aca="false">IF(A1862="","",DATE(YEAR(A1862),MONTH(A1862),1))</f>
        <v/>
      </c>
    </row>
    <row r="1863" customFormat="false" ht="15" hidden="false" customHeight="false" outlineLevel="0" collapsed="false">
      <c r="A1863" s="22"/>
      <c r="B1863" s="23"/>
      <c r="C1863" s="23"/>
      <c r="D1863" s="24"/>
      <c r="E1863" s="23"/>
      <c r="F1863" s="15" t="str">
        <f aca="false">IF(B1863="","",IFERROR(INDEX(Configurações!$B$7:$B$30,MATCH(B1863,Configurações!$A$7:$A$30,0)),"?"))</f>
        <v/>
      </c>
      <c r="G1863" s="25" t="str">
        <f aca="false">IF(A1863="","",A1863-WEEKDAY(A1863,2)+1)</f>
        <v/>
      </c>
      <c r="H1863" s="26" t="str">
        <f aca="false">IF(A1863="","",DATE(YEAR(A1863),MONTH(A1863),1))</f>
        <v/>
      </c>
    </row>
    <row r="1864" customFormat="false" ht="15" hidden="false" customHeight="false" outlineLevel="0" collapsed="false">
      <c r="A1864" s="22"/>
      <c r="B1864" s="23"/>
      <c r="C1864" s="23"/>
      <c r="D1864" s="24"/>
      <c r="E1864" s="23"/>
      <c r="F1864" s="15" t="str">
        <f aca="false">IF(B1864="","",IFERROR(INDEX(Configurações!$B$7:$B$30,MATCH(B1864,Configurações!$A$7:$A$30,0)),"?"))</f>
        <v/>
      </c>
      <c r="G1864" s="25" t="str">
        <f aca="false">IF(A1864="","",A1864-WEEKDAY(A1864,2)+1)</f>
        <v/>
      </c>
      <c r="H1864" s="26" t="str">
        <f aca="false">IF(A1864="","",DATE(YEAR(A1864),MONTH(A1864),1))</f>
        <v/>
      </c>
    </row>
    <row r="1865" customFormat="false" ht="15" hidden="false" customHeight="false" outlineLevel="0" collapsed="false">
      <c r="A1865" s="22"/>
      <c r="B1865" s="23"/>
      <c r="C1865" s="23"/>
      <c r="D1865" s="24"/>
      <c r="E1865" s="23"/>
      <c r="F1865" s="15" t="str">
        <f aca="false">IF(B1865="","",IFERROR(INDEX(Configurações!$B$7:$B$30,MATCH(B1865,Configurações!$A$7:$A$30,0)),"?"))</f>
        <v/>
      </c>
      <c r="G1865" s="25" t="str">
        <f aca="false">IF(A1865="","",A1865-WEEKDAY(A1865,2)+1)</f>
        <v/>
      </c>
      <c r="H1865" s="26" t="str">
        <f aca="false">IF(A1865="","",DATE(YEAR(A1865),MONTH(A1865),1))</f>
        <v/>
      </c>
    </row>
    <row r="1866" customFormat="false" ht="15" hidden="false" customHeight="false" outlineLevel="0" collapsed="false">
      <c r="A1866" s="22"/>
      <c r="B1866" s="23"/>
      <c r="C1866" s="23"/>
      <c r="D1866" s="24"/>
      <c r="E1866" s="23"/>
      <c r="F1866" s="15" t="str">
        <f aca="false">IF(B1866="","",IFERROR(INDEX(Configurações!$B$7:$B$30,MATCH(B1866,Configurações!$A$7:$A$30,0)),"?"))</f>
        <v/>
      </c>
      <c r="G1866" s="25" t="str">
        <f aca="false">IF(A1866="","",A1866-WEEKDAY(A1866,2)+1)</f>
        <v/>
      </c>
      <c r="H1866" s="26" t="str">
        <f aca="false">IF(A1866="","",DATE(YEAR(A1866),MONTH(A1866),1))</f>
        <v/>
      </c>
    </row>
    <row r="1867" customFormat="false" ht="15" hidden="false" customHeight="false" outlineLevel="0" collapsed="false">
      <c r="A1867" s="22"/>
      <c r="B1867" s="23"/>
      <c r="C1867" s="23"/>
      <c r="D1867" s="24"/>
      <c r="E1867" s="23"/>
      <c r="F1867" s="15" t="str">
        <f aca="false">IF(B1867="","",IFERROR(INDEX(Configurações!$B$7:$B$30,MATCH(B1867,Configurações!$A$7:$A$30,0)),"?"))</f>
        <v/>
      </c>
      <c r="G1867" s="25" t="str">
        <f aca="false">IF(A1867="","",A1867-WEEKDAY(A1867,2)+1)</f>
        <v/>
      </c>
      <c r="H1867" s="26" t="str">
        <f aca="false">IF(A1867="","",DATE(YEAR(A1867),MONTH(A1867),1))</f>
        <v/>
      </c>
    </row>
    <row r="1868" customFormat="false" ht="15" hidden="false" customHeight="false" outlineLevel="0" collapsed="false">
      <c r="A1868" s="22"/>
      <c r="B1868" s="23"/>
      <c r="C1868" s="23"/>
      <c r="D1868" s="24"/>
      <c r="E1868" s="23"/>
      <c r="F1868" s="15" t="str">
        <f aca="false">IF(B1868="","",IFERROR(INDEX(Configurações!$B$7:$B$30,MATCH(B1868,Configurações!$A$7:$A$30,0)),"?"))</f>
        <v/>
      </c>
      <c r="G1868" s="25" t="str">
        <f aca="false">IF(A1868="","",A1868-WEEKDAY(A1868,2)+1)</f>
        <v/>
      </c>
      <c r="H1868" s="26" t="str">
        <f aca="false">IF(A1868="","",DATE(YEAR(A1868),MONTH(A1868),1))</f>
        <v/>
      </c>
    </row>
    <row r="1869" customFormat="false" ht="15" hidden="false" customHeight="false" outlineLevel="0" collapsed="false">
      <c r="A1869" s="22"/>
      <c r="B1869" s="23"/>
      <c r="C1869" s="23"/>
      <c r="D1869" s="24"/>
      <c r="E1869" s="23"/>
      <c r="F1869" s="15" t="str">
        <f aca="false">IF(B1869="","",IFERROR(INDEX(Configurações!$B$7:$B$30,MATCH(B1869,Configurações!$A$7:$A$30,0)),"?"))</f>
        <v/>
      </c>
      <c r="G1869" s="25" t="str">
        <f aca="false">IF(A1869="","",A1869-WEEKDAY(A1869,2)+1)</f>
        <v/>
      </c>
      <c r="H1869" s="26" t="str">
        <f aca="false">IF(A1869="","",DATE(YEAR(A1869),MONTH(A1869),1))</f>
        <v/>
      </c>
    </row>
    <row r="1870" customFormat="false" ht="15" hidden="false" customHeight="false" outlineLevel="0" collapsed="false">
      <c r="A1870" s="22"/>
      <c r="B1870" s="23"/>
      <c r="C1870" s="23"/>
      <c r="D1870" s="24"/>
      <c r="E1870" s="23"/>
      <c r="F1870" s="15" t="str">
        <f aca="false">IF(B1870="","",IFERROR(INDEX(Configurações!$B$7:$B$30,MATCH(B1870,Configurações!$A$7:$A$30,0)),"?"))</f>
        <v/>
      </c>
      <c r="G1870" s="25" t="str">
        <f aca="false">IF(A1870="","",A1870-WEEKDAY(A1870,2)+1)</f>
        <v/>
      </c>
      <c r="H1870" s="26" t="str">
        <f aca="false">IF(A1870="","",DATE(YEAR(A1870),MONTH(A1870),1))</f>
        <v/>
      </c>
    </row>
    <row r="1871" customFormat="false" ht="15" hidden="false" customHeight="false" outlineLevel="0" collapsed="false">
      <c r="A1871" s="22"/>
      <c r="B1871" s="23"/>
      <c r="C1871" s="23"/>
      <c r="D1871" s="24"/>
      <c r="E1871" s="23"/>
      <c r="F1871" s="15" t="str">
        <f aca="false">IF(B1871="","",IFERROR(INDEX(Configurações!$B$7:$B$30,MATCH(B1871,Configurações!$A$7:$A$30,0)),"?"))</f>
        <v/>
      </c>
      <c r="G1871" s="25" t="str">
        <f aca="false">IF(A1871="","",A1871-WEEKDAY(A1871,2)+1)</f>
        <v/>
      </c>
      <c r="H1871" s="26" t="str">
        <f aca="false">IF(A1871="","",DATE(YEAR(A1871),MONTH(A1871),1))</f>
        <v/>
      </c>
    </row>
    <row r="1872" customFormat="false" ht="15" hidden="false" customHeight="false" outlineLevel="0" collapsed="false">
      <c r="A1872" s="22"/>
      <c r="B1872" s="23"/>
      <c r="C1872" s="23"/>
      <c r="D1872" s="24"/>
      <c r="E1872" s="23"/>
      <c r="F1872" s="15" t="str">
        <f aca="false">IF(B1872="","",IFERROR(INDEX(Configurações!$B$7:$B$30,MATCH(B1872,Configurações!$A$7:$A$30,0)),"?"))</f>
        <v/>
      </c>
      <c r="G1872" s="25" t="str">
        <f aca="false">IF(A1872="","",A1872-WEEKDAY(A1872,2)+1)</f>
        <v/>
      </c>
      <c r="H1872" s="26" t="str">
        <f aca="false">IF(A1872="","",DATE(YEAR(A1872),MONTH(A1872),1))</f>
        <v/>
      </c>
    </row>
    <row r="1873" customFormat="false" ht="15" hidden="false" customHeight="false" outlineLevel="0" collapsed="false">
      <c r="A1873" s="22"/>
      <c r="B1873" s="23"/>
      <c r="C1873" s="23"/>
      <c r="D1873" s="24"/>
      <c r="E1873" s="23"/>
      <c r="F1873" s="15" t="str">
        <f aca="false">IF(B1873="","",IFERROR(INDEX(Configurações!$B$7:$B$30,MATCH(B1873,Configurações!$A$7:$A$30,0)),"?"))</f>
        <v/>
      </c>
      <c r="G1873" s="25" t="str">
        <f aca="false">IF(A1873="","",A1873-WEEKDAY(A1873,2)+1)</f>
        <v/>
      </c>
      <c r="H1873" s="26" t="str">
        <f aca="false">IF(A1873="","",DATE(YEAR(A1873),MONTH(A1873),1))</f>
        <v/>
      </c>
    </row>
    <row r="1874" customFormat="false" ht="15" hidden="false" customHeight="false" outlineLevel="0" collapsed="false">
      <c r="A1874" s="22"/>
      <c r="B1874" s="23"/>
      <c r="C1874" s="23"/>
      <c r="D1874" s="24"/>
      <c r="E1874" s="23"/>
      <c r="F1874" s="15" t="str">
        <f aca="false">IF(B1874="","",IFERROR(INDEX(Configurações!$B$7:$B$30,MATCH(B1874,Configurações!$A$7:$A$30,0)),"?"))</f>
        <v/>
      </c>
      <c r="G1874" s="25" t="str">
        <f aca="false">IF(A1874="","",A1874-WEEKDAY(A1874,2)+1)</f>
        <v/>
      </c>
      <c r="H1874" s="26" t="str">
        <f aca="false">IF(A1874="","",DATE(YEAR(A1874),MONTH(A1874),1))</f>
        <v/>
      </c>
    </row>
    <row r="1875" customFormat="false" ht="15" hidden="false" customHeight="false" outlineLevel="0" collapsed="false">
      <c r="A1875" s="22"/>
      <c r="B1875" s="23"/>
      <c r="C1875" s="23"/>
      <c r="D1875" s="24"/>
      <c r="E1875" s="23"/>
      <c r="F1875" s="15" t="str">
        <f aca="false">IF(B1875="","",IFERROR(INDEX(Configurações!$B$7:$B$30,MATCH(B1875,Configurações!$A$7:$A$30,0)),"?"))</f>
        <v/>
      </c>
      <c r="G1875" s="25" t="str">
        <f aca="false">IF(A1875="","",A1875-WEEKDAY(A1875,2)+1)</f>
        <v/>
      </c>
      <c r="H1875" s="26" t="str">
        <f aca="false">IF(A1875="","",DATE(YEAR(A1875),MONTH(A1875),1))</f>
        <v/>
      </c>
    </row>
    <row r="1876" customFormat="false" ht="15" hidden="false" customHeight="false" outlineLevel="0" collapsed="false">
      <c r="A1876" s="22"/>
      <c r="B1876" s="23"/>
      <c r="C1876" s="23"/>
      <c r="D1876" s="24"/>
      <c r="E1876" s="23"/>
      <c r="F1876" s="15" t="str">
        <f aca="false">IF(B1876="","",IFERROR(INDEX(Configurações!$B$7:$B$30,MATCH(B1876,Configurações!$A$7:$A$30,0)),"?"))</f>
        <v/>
      </c>
      <c r="G1876" s="25" t="str">
        <f aca="false">IF(A1876="","",A1876-WEEKDAY(A1876,2)+1)</f>
        <v/>
      </c>
      <c r="H1876" s="26" t="str">
        <f aca="false">IF(A1876="","",DATE(YEAR(A1876),MONTH(A1876),1))</f>
        <v/>
      </c>
    </row>
    <row r="1877" customFormat="false" ht="15" hidden="false" customHeight="false" outlineLevel="0" collapsed="false">
      <c r="A1877" s="22"/>
      <c r="B1877" s="23"/>
      <c r="C1877" s="23"/>
      <c r="D1877" s="24"/>
      <c r="E1877" s="23"/>
      <c r="F1877" s="15" t="str">
        <f aca="false">IF(B1877="","",IFERROR(INDEX(Configurações!$B$7:$B$30,MATCH(B1877,Configurações!$A$7:$A$30,0)),"?"))</f>
        <v/>
      </c>
      <c r="G1877" s="25" t="str">
        <f aca="false">IF(A1877="","",A1877-WEEKDAY(A1877,2)+1)</f>
        <v/>
      </c>
      <c r="H1877" s="26" t="str">
        <f aca="false">IF(A1877="","",DATE(YEAR(A1877),MONTH(A1877),1))</f>
        <v/>
      </c>
    </row>
    <row r="1878" customFormat="false" ht="15" hidden="false" customHeight="false" outlineLevel="0" collapsed="false">
      <c r="A1878" s="22"/>
      <c r="B1878" s="23"/>
      <c r="C1878" s="23"/>
      <c r="D1878" s="24"/>
      <c r="E1878" s="23"/>
      <c r="F1878" s="15" t="str">
        <f aca="false">IF(B1878="","",IFERROR(INDEX(Configurações!$B$7:$B$30,MATCH(B1878,Configurações!$A$7:$A$30,0)),"?"))</f>
        <v/>
      </c>
      <c r="G1878" s="25" t="str">
        <f aca="false">IF(A1878="","",A1878-WEEKDAY(A1878,2)+1)</f>
        <v/>
      </c>
      <c r="H1878" s="26" t="str">
        <f aca="false">IF(A1878="","",DATE(YEAR(A1878),MONTH(A1878),1))</f>
        <v/>
      </c>
    </row>
    <row r="1879" customFormat="false" ht="15" hidden="false" customHeight="false" outlineLevel="0" collapsed="false">
      <c r="A1879" s="22"/>
      <c r="B1879" s="23"/>
      <c r="C1879" s="23"/>
      <c r="D1879" s="24"/>
      <c r="E1879" s="23"/>
      <c r="F1879" s="15" t="str">
        <f aca="false">IF(B1879="","",IFERROR(INDEX(Configurações!$B$7:$B$30,MATCH(B1879,Configurações!$A$7:$A$30,0)),"?"))</f>
        <v/>
      </c>
      <c r="G1879" s="25" t="str">
        <f aca="false">IF(A1879="","",A1879-WEEKDAY(A1879,2)+1)</f>
        <v/>
      </c>
      <c r="H1879" s="26" t="str">
        <f aca="false">IF(A1879="","",DATE(YEAR(A1879),MONTH(A1879),1))</f>
        <v/>
      </c>
    </row>
    <row r="1880" customFormat="false" ht="15" hidden="false" customHeight="false" outlineLevel="0" collapsed="false">
      <c r="A1880" s="22"/>
      <c r="B1880" s="23"/>
      <c r="C1880" s="23"/>
      <c r="D1880" s="24"/>
      <c r="E1880" s="23"/>
      <c r="F1880" s="15" t="str">
        <f aca="false">IF(B1880="","",IFERROR(INDEX(Configurações!$B$7:$B$30,MATCH(B1880,Configurações!$A$7:$A$30,0)),"?"))</f>
        <v/>
      </c>
      <c r="G1880" s="25" t="str">
        <f aca="false">IF(A1880="","",A1880-WEEKDAY(A1880,2)+1)</f>
        <v/>
      </c>
      <c r="H1880" s="26" t="str">
        <f aca="false">IF(A1880="","",DATE(YEAR(A1880),MONTH(A1880),1))</f>
        <v/>
      </c>
    </row>
    <row r="1881" customFormat="false" ht="15" hidden="false" customHeight="false" outlineLevel="0" collapsed="false">
      <c r="A1881" s="22"/>
      <c r="B1881" s="23"/>
      <c r="C1881" s="23"/>
      <c r="D1881" s="24"/>
      <c r="E1881" s="23"/>
      <c r="F1881" s="15" t="str">
        <f aca="false">IF(B1881="","",IFERROR(INDEX(Configurações!$B$7:$B$30,MATCH(B1881,Configurações!$A$7:$A$30,0)),"?"))</f>
        <v/>
      </c>
      <c r="G1881" s="25" t="str">
        <f aca="false">IF(A1881="","",A1881-WEEKDAY(A1881,2)+1)</f>
        <v/>
      </c>
      <c r="H1881" s="26" t="str">
        <f aca="false">IF(A1881="","",DATE(YEAR(A1881),MONTH(A1881),1))</f>
        <v/>
      </c>
    </row>
    <row r="1882" customFormat="false" ht="15" hidden="false" customHeight="false" outlineLevel="0" collapsed="false">
      <c r="A1882" s="22"/>
      <c r="B1882" s="23"/>
      <c r="C1882" s="23"/>
      <c r="D1882" s="24"/>
      <c r="E1882" s="23"/>
      <c r="F1882" s="15" t="str">
        <f aca="false">IF(B1882="","",IFERROR(INDEX(Configurações!$B$7:$B$30,MATCH(B1882,Configurações!$A$7:$A$30,0)),"?"))</f>
        <v/>
      </c>
      <c r="G1882" s="25" t="str">
        <f aca="false">IF(A1882="","",A1882-WEEKDAY(A1882,2)+1)</f>
        <v/>
      </c>
      <c r="H1882" s="26" t="str">
        <f aca="false">IF(A1882="","",DATE(YEAR(A1882),MONTH(A1882),1))</f>
        <v/>
      </c>
    </row>
    <row r="1883" customFormat="false" ht="15" hidden="false" customHeight="false" outlineLevel="0" collapsed="false">
      <c r="A1883" s="22"/>
      <c r="B1883" s="23"/>
      <c r="C1883" s="23"/>
      <c r="D1883" s="24"/>
      <c r="E1883" s="23"/>
      <c r="F1883" s="15" t="str">
        <f aca="false">IF(B1883="","",IFERROR(INDEX(Configurações!$B$7:$B$30,MATCH(B1883,Configurações!$A$7:$A$30,0)),"?"))</f>
        <v/>
      </c>
      <c r="G1883" s="25" t="str">
        <f aca="false">IF(A1883="","",A1883-WEEKDAY(A1883,2)+1)</f>
        <v/>
      </c>
      <c r="H1883" s="26" t="str">
        <f aca="false">IF(A1883="","",DATE(YEAR(A1883),MONTH(A1883),1))</f>
        <v/>
      </c>
    </row>
    <row r="1884" customFormat="false" ht="15" hidden="false" customHeight="false" outlineLevel="0" collapsed="false">
      <c r="A1884" s="22"/>
      <c r="B1884" s="23"/>
      <c r="C1884" s="23"/>
      <c r="D1884" s="24"/>
      <c r="E1884" s="23"/>
      <c r="F1884" s="15" t="str">
        <f aca="false">IF(B1884="","",IFERROR(INDEX(Configurações!$B$7:$B$30,MATCH(B1884,Configurações!$A$7:$A$30,0)),"?"))</f>
        <v/>
      </c>
      <c r="G1884" s="25" t="str">
        <f aca="false">IF(A1884="","",A1884-WEEKDAY(A1884,2)+1)</f>
        <v/>
      </c>
      <c r="H1884" s="26" t="str">
        <f aca="false">IF(A1884="","",DATE(YEAR(A1884),MONTH(A1884),1))</f>
        <v/>
      </c>
    </row>
    <row r="1885" customFormat="false" ht="15" hidden="false" customHeight="false" outlineLevel="0" collapsed="false">
      <c r="A1885" s="22"/>
      <c r="B1885" s="23"/>
      <c r="C1885" s="23"/>
      <c r="D1885" s="24"/>
      <c r="E1885" s="23"/>
      <c r="F1885" s="15" t="str">
        <f aca="false">IF(B1885="","",IFERROR(INDEX(Configurações!$B$7:$B$30,MATCH(B1885,Configurações!$A$7:$A$30,0)),"?"))</f>
        <v/>
      </c>
      <c r="G1885" s="25" t="str">
        <f aca="false">IF(A1885="","",A1885-WEEKDAY(A1885,2)+1)</f>
        <v/>
      </c>
      <c r="H1885" s="26" t="str">
        <f aca="false">IF(A1885="","",DATE(YEAR(A1885),MONTH(A1885),1))</f>
        <v/>
      </c>
    </row>
    <row r="1886" customFormat="false" ht="15" hidden="false" customHeight="false" outlineLevel="0" collapsed="false">
      <c r="A1886" s="22"/>
      <c r="B1886" s="23"/>
      <c r="C1886" s="23"/>
      <c r="D1886" s="24"/>
      <c r="E1886" s="23"/>
      <c r="F1886" s="15" t="str">
        <f aca="false">IF(B1886="","",IFERROR(INDEX(Configurações!$B$7:$B$30,MATCH(B1886,Configurações!$A$7:$A$30,0)),"?"))</f>
        <v/>
      </c>
      <c r="G1886" s="25" t="str">
        <f aca="false">IF(A1886="","",A1886-WEEKDAY(A1886,2)+1)</f>
        <v/>
      </c>
      <c r="H1886" s="26" t="str">
        <f aca="false">IF(A1886="","",DATE(YEAR(A1886),MONTH(A1886),1))</f>
        <v/>
      </c>
    </row>
    <row r="1887" customFormat="false" ht="15" hidden="false" customHeight="false" outlineLevel="0" collapsed="false">
      <c r="A1887" s="22"/>
      <c r="B1887" s="23"/>
      <c r="C1887" s="23"/>
      <c r="D1887" s="24"/>
      <c r="E1887" s="23"/>
      <c r="F1887" s="15" t="str">
        <f aca="false">IF(B1887="","",IFERROR(INDEX(Configurações!$B$7:$B$30,MATCH(B1887,Configurações!$A$7:$A$30,0)),"?"))</f>
        <v/>
      </c>
      <c r="G1887" s="25" t="str">
        <f aca="false">IF(A1887="","",A1887-WEEKDAY(A1887,2)+1)</f>
        <v/>
      </c>
      <c r="H1887" s="26" t="str">
        <f aca="false">IF(A1887="","",DATE(YEAR(A1887),MONTH(A1887),1))</f>
        <v/>
      </c>
    </row>
    <row r="1888" customFormat="false" ht="15" hidden="false" customHeight="false" outlineLevel="0" collapsed="false">
      <c r="A1888" s="22"/>
      <c r="B1888" s="23"/>
      <c r="C1888" s="23"/>
      <c r="D1888" s="24"/>
      <c r="E1888" s="23"/>
      <c r="F1888" s="15" t="str">
        <f aca="false">IF(B1888="","",IFERROR(INDEX(Configurações!$B$7:$B$30,MATCH(B1888,Configurações!$A$7:$A$30,0)),"?"))</f>
        <v/>
      </c>
      <c r="G1888" s="25" t="str">
        <f aca="false">IF(A1888="","",A1888-WEEKDAY(A1888,2)+1)</f>
        <v/>
      </c>
      <c r="H1888" s="26" t="str">
        <f aca="false">IF(A1888="","",DATE(YEAR(A1888),MONTH(A1888),1))</f>
        <v/>
      </c>
    </row>
    <row r="1889" customFormat="false" ht="15" hidden="false" customHeight="false" outlineLevel="0" collapsed="false">
      <c r="A1889" s="22"/>
      <c r="B1889" s="23"/>
      <c r="C1889" s="23"/>
      <c r="D1889" s="24"/>
      <c r="E1889" s="23"/>
      <c r="F1889" s="15" t="str">
        <f aca="false">IF(B1889="","",IFERROR(INDEX(Configurações!$B$7:$B$30,MATCH(B1889,Configurações!$A$7:$A$30,0)),"?"))</f>
        <v/>
      </c>
      <c r="G1889" s="25" t="str">
        <f aca="false">IF(A1889="","",A1889-WEEKDAY(A1889,2)+1)</f>
        <v/>
      </c>
      <c r="H1889" s="26" t="str">
        <f aca="false">IF(A1889="","",DATE(YEAR(A1889),MONTH(A1889),1))</f>
        <v/>
      </c>
    </row>
    <row r="1890" customFormat="false" ht="15" hidden="false" customHeight="false" outlineLevel="0" collapsed="false">
      <c r="A1890" s="22"/>
      <c r="B1890" s="23"/>
      <c r="C1890" s="23"/>
      <c r="D1890" s="24"/>
      <c r="E1890" s="23"/>
      <c r="F1890" s="15" t="str">
        <f aca="false">IF(B1890="","",IFERROR(INDEX(Configurações!$B$7:$B$30,MATCH(B1890,Configurações!$A$7:$A$30,0)),"?"))</f>
        <v/>
      </c>
      <c r="G1890" s="25" t="str">
        <f aca="false">IF(A1890="","",A1890-WEEKDAY(A1890,2)+1)</f>
        <v/>
      </c>
      <c r="H1890" s="26" t="str">
        <f aca="false">IF(A1890="","",DATE(YEAR(A1890),MONTH(A1890),1))</f>
        <v/>
      </c>
    </row>
    <row r="1891" customFormat="false" ht="15" hidden="false" customHeight="false" outlineLevel="0" collapsed="false">
      <c r="A1891" s="22"/>
      <c r="B1891" s="23"/>
      <c r="C1891" s="23"/>
      <c r="D1891" s="24"/>
      <c r="E1891" s="23"/>
      <c r="F1891" s="15" t="str">
        <f aca="false">IF(B1891="","",IFERROR(INDEX(Configurações!$B$7:$B$30,MATCH(B1891,Configurações!$A$7:$A$30,0)),"?"))</f>
        <v/>
      </c>
      <c r="G1891" s="25" t="str">
        <f aca="false">IF(A1891="","",A1891-WEEKDAY(A1891,2)+1)</f>
        <v/>
      </c>
      <c r="H1891" s="26" t="str">
        <f aca="false">IF(A1891="","",DATE(YEAR(A1891),MONTH(A1891),1))</f>
        <v/>
      </c>
    </row>
    <row r="1892" customFormat="false" ht="15" hidden="false" customHeight="false" outlineLevel="0" collapsed="false">
      <c r="A1892" s="22"/>
      <c r="B1892" s="23"/>
      <c r="C1892" s="23"/>
      <c r="D1892" s="24"/>
      <c r="E1892" s="23"/>
      <c r="F1892" s="15" t="str">
        <f aca="false">IF(B1892="","",IFERROR(INDEX(Configurações!$B$7:$B$30,MATCH(B1892,Configurações!$A$7:$A$30,0)),"?"))</f>
        <v/>
      </c>
      <c r="G1892" s="25" t="str">
        <f aca="false">IF(A1892="","",A1892-WEEKDAY(A1892,2)+1)</f>
        <v/>
      </c>
      <c r="H1892" s="26" t="str">
        <f aca="false">IF(A1892="","",DATE(YEAR(A1892),MONTH(A1892),1))</f>
        <v/>
      </c>
    </row>
    <row r="1893" customFormat="false" ht="15" hidden="false" customHeight="false" outlineLevel="0" collapsed="false">
      <c r="A1893" s="22"/>
      <c r="B1893" s="23"/>
      <c r="C1893" s="23"/>
      <c r="D1893" s="24"/>
      <c r="E1893" s="23"/>
      <c r="F1893" s="15" t="str">
        <f aca="false">IF(B1893="","",IFERROR(INDEX(Configurações!$B$7:$B$30,MATCH(B1893,Configurações!$A$7:$A$30,0)),"?"))</f>
        <v/>
      </c>
      <c r="G1893" s="25" t="str">
        <f aca="false">IF(A1893="","",A1893-WEEKDAY(A1893,2)+1)</f>
        <v/>
      </c>
      <c r="H1893" s="26" t="str">
        <f aca="false">IF(A1893="","",DATE(YEAR(A1893),MONTH(A1893),1))</f>
        <v/>
      </c>
    </row>
    <row r="1894" customFormat="false" ht="15" hidden="false" customHeight="false" outlineLevel="0" collapsed="false">
      <c r="A1894" s="22"/>
      <c r="B1894" s="23"/>
      <c r="C1894" s="23"/>
      <c r="D1894" s="24"/>
      <c r="E1894" s="23"/>
      <c r="F1894" s="15" t="str">
        <f aca="false">IF(B1894="","",IFERROR(INDEX(Configurações!$B$7:$B$30,MATCH(B1894,Configurações!$A$7:$A$30,0)),"?"))</f>
        <v/>
      </c>
      <c r="G1894" s="25" t="str">
        <f aca="false">IF(A1894="","",A1894-WEEKDAY(A1894,2)+1)</f>
        <v/>
      </c>
      <c r="H1894" s="26" t="str">
        <f aca="false">IF(A1894="","",DATE(YEAR(A1894),MONTH(A1894),1))</f>
        <v/>
      </c>
    </row>
    <row r="1895" customFormat="false" ht="15" hidden="false" customHeight="false" outlineLevel="0" collapsed="false">
      <c r="A1895" s="22"/>
      <c r="B1895" s="23"/>
      <c r="C1895" s="23"/>
      <c r="D1895" s="24"/>
      <c r="E1895" s="23"/>
      <c r="F1895" s="15" t="str">
        <f aca="false">IF(B1895="","",IFERROR(INDEX(Configurações!$B$7:$B$30,MATCH(B1895,Configurações!$A$7:$A$30,0)),"?"))</f>
        <v/>
      </c>
      <c r="G1895" s="25" t="str">
        <f aca="false">IF(A1895="","",A1895-WEEKDAY(A1895,2)+1)</f>
        <v/>
      </c>
      <c r="H1895" s="26" t="str">
        <f aca="false">IF(A1895="","",DATE(YEAR(A1895),MONTH(A1895),1))</f>
        <v/>
      </c>
    </row>
    <row r="1896" customFormat="false" ht="15" hidden="false" customHeight="false" outlineLevel="0" collapsed="false">
      <c r="A1896" s="22"/>
      <c r="B1896" s="23"/>
      <c r="C1896" s="23"/>
      <c r="D1896" s="24"/>
      <c r="E1896" s="23"/>
      <c r="F1896" s="15" t="str">
        <f aca="false">IF(B1896="","",IFERROR(INDEX(Configurações!$B$7:$B$30,MATCH(B1896,Configurações!$A$7:$A$30,0)),"?"))</f>
        <v/>
      </c>
      <c r="G1896" s="25" t="str">
        <f aca="false">IF(A1896="","",A1896-WEEKDAY(A1896,2)+1)</f>
        <v/>
      </c>
      <c r="H1896" s="26" t="str">
        <f aca="false">IF(A1896="","",DATE(YEAR(A1896),MONTH(A1896),1))</f>
        <v/>
      </c>
    </row>
    <row r="1897" customFormat="false" ht="15" hidden="false" customHeight="false" outlineLevel="0" collapsed="false">
      <c r="A1897" s="22"/>
      <c r="B1897" s="23"/>
      <c r="C1897" s="23"/>
      <c r="D1897" s="24"/>
      <c r="E1897" s="23"/>
      <c r="F1897" s="15" t="str">
        <f aca="false">IF(B1897="","",IFERROR(INDEX(Configurações!$B$7:$B$30,MATCH(B1897,Configurações!$A$7:$A$30,0)),"?"))</f>
        <v/>
      </c>
      <c r="G1897" s="25" t="str">
        <f aca="false">IF(A1897="","",A1897-WEEKDAY(A1897,2)+1)</f>
        <v/>
      </c>
      <c r="H1897" s="26" t="str">
        <f aca="false">IF(A1897="","",DATE(YEAR(A1897),MONTH(A1897),1))</f>
        <v/>
      </c>
    </row>
    <row r="1898" customFormat="false" ht="15" hidden="false" customHeight="false" outlineLevel="0" collapsed="false">
      <c r="A1898" s="22"/>
      <c r="B1898" s="23"/>
      <c r="C1898" s="23"/>
      <c r="D1898" s="24"/>
      <c r="E1898" s="23"/>
      <c r="F1898" s="15" t="str">
        <f aca="false">IF(B1898="","",IFERROR(INDEX(Configurações!$B$7:$B$30,MATCH(B1898,Configurações!$A$7:$A$30,0)),"?"))</f>
        <v/>
      </c>
      <c r="G1898" s="25" t="str">
        <f aca="false">IF(A1898="","",A1898-WEEKDAY(A1898,2)+1)</f>
        <v/>
      </c>
      <c r="H1898" s="26" t="str">
        <f aca="false">IF(A1898="","",DATE(YEAR(A1898),MONTH(A1898),1))</f>
        <v/>
      </c>
    </row>
    <row r="1899" customFormat="false" ht="15" hidden="false" customHeight="false" outlineLevel="0" collapsed="false">
      <c r="A1899" s="22"/>
      <c r="B1899" s="23"/>
      <c r="C1899" s="23"/>
      <c r="D1899" s="24"/>
      <c r="E1899" s="23"/>
      <c r="F1899" s="15" t="str">
        <f aca="false">IF(B1899="","",IFERROR(INDEX(Configurações!$B$7:$B$30,MATCH(B1899,Configurações!$A$7:$A$30,0)),"?"))</f>
        <v/>
      </c>
      <c r="G1899" s="25" t="str">
        <f aca="false">IF(A1899="","",A1899-WEEKDAY(A1899,2)+1)</f>
        <v/>
      </c>
      <c r="H1899" s="26" t="str">
        <f aca="false">IF(A1899="","",DATE(YEAR(A1899),MONTH(A1899),1))</f>
        <v/>
      </c>
    </row>
    <row r="1900" customFormat="false" ht="15" hidden="false" customHeight="false" outlineLevel="0" collapsed="false">
      <c r="A1900" s="22"/>
      <c r="B1900" s="23"/>
      <c r="C1900" s="23"/>
      <c r="D1900" s="24"/>
      <c r="E1900" s="23"/>
      <c r="F1900" s="15" t="str">
        <f aca="false">IF(B1900="","",IFERROR(INDEX(Configurações!$B$7:$B$30,MATCH(B1900,Configurações!$A$7:$A$30,0)),"?"))</f>
        <v/>
      </c>
      <c r="G1900" s="25" t="str">
        <f aca="false">IF(A1900="","",A1900-WEEKDAY(A1900,2)+1)</f>
        <v/>
      </c>
      <c r="H1900" s="26" t="str">
        <f aca="false">IF(A1900="","",DATE(YEAR(A1900),MONTH(A1900),1))</f>
        <v/>
      </c>
    </row>
    <row r="1901" customFormat="false" ht="15" hidden="false" customHeight="false" outlineLevel="0" collapsed="false">
      <c r="A1901" s="22"/>
      <c r="B1901" s="23"/>
      <c r="C1901" s="23"/>
      <c r="D1901" s="24"/>
      <c r="E1901" s="23"/>
      <c r="F1901" s="15" t="str">
        <f aca="false">IF(B1901="","",IFERROR(INDEX(Configurações!$B$7:$B$30,MATCH(B1901,Configurações!$A$7:$A$30,0)),"?"))</f>
        <v/>
      </c>
      <c r="G1901" s="25" t="str">
        <f aca="false">IF(A1901="","",A1901-WEEKDAY(A1901,2)+1)</f>
        <v/>
      </c>
      <c r="H1901" s="26" t="str">
        <f aca="false">IF(A1901="","",DATE(YEAR(A1901),MONTH(A1901),1))</f>
        <v/>
      </c>
    </row>
    <row r="1902" customFormat="false" ht="15" hidden="false" customHeight="false" outlineLevel="0" collapsed="false">
      <c r="A1902" s="22"/>
      <c r="B1902" s="23"/>
      <c r="C1902" s="23"/>
      <c r="D1902" s="24"/>
      <c r="E1902" s="23"/>
      <c r="F1902" s="15" t="str">
        <f aca="false">IF(B1902="","",IFERROR(INDEX(Configurações!$B$7:$B$30,MATCH(B1902,Configurações!$A$7:$A$30,0)),"?"))</f>
        <v/>
      </c>
      <c r="G1902" s="25" t="str">
        <f aca="false">IF(A1902="","",A1902-WEEKDAY(A1902,2)+1)</f>
        <v/>
      </c>
      <c r="H1902" s="26" t="str">
        <f aca="false">IF(A1902="","",DATE(YEAR(A1902),MONTH(A1902),1))</f>
        <v/>
      </c>
    </row>
    <row r="1903" customFormat="false" ht="15" hidden="false" customHeight="false" outlineLevel="0" collapsed="false">
      <c r="A1903" s="22"/>
      <c r="B1903" s="23"/>
      <c r="C1903" s="23"/>
      <c r="D1903" s="24"/>
      <c r="E1903" s="23"/>
      <c r="F1903" s="15" t="str">
        <f aca="false">IF(B1903="","",IFERROR(INDEX(Configurações!$B$7:$B$30,MATCH(B1903,Configurações!$A$7:$A$30,0)),"?"))</f>
        <v/>
      </c>
      <c r="G1903" s="25" t="str">
        <f aca="false">IF(A1903="","",A1903-WEEKDAY(A1903,2)+1)</f>
        <v/>
      </c>
      <c r="H1903" s="26" t="str">
        <f aca="false">IF(A1903="","",DATE(YEAR(A1903),MONTH(A1903),1))</f>
        <v/>
      </c>
    </row>
    <row r="1904" customFormat="false" ht="15" hidden="false" customHeight="false" outlineLevel="0" collapsed="false">
      <c r="A1904" s="22"/>
      <c r="B1904" s="23"/>
      <c r="C1904" s="23"/>
      <c r="D1904" s="24"/>
      <c r="E1904" s="23"/>
      <c r="F1904" s="15" t="str">
        <f aca="false">IF(B1904="","",IFERROR(INDEX(Configurações!$B$7:$B$30,MATCH(B1904,Configurações!$A$7:$A$30,0)),"?"))</f>
        <v/>
      </c>
      <c r="G1904" s="25" t="str">
        <f aca="false">IF(A1904="","",A1904-WEEKDAY(A1904,2)+1)</f>
        <v/>
      </c>
      <c r="H1904" s="26" t="str">
        <f aca="false">IF(A1904="","",DATE(YEAR(A1904),MONTH(A1904),1))</f>
        <v/>
      </c>
    </row>
    <row r="1905" customFormat="false" ht="15" hidden="false" customHeight="false" outlineLevel="0" collapsed="false">
      <c r="A1905" s="22"/>
      <c r="B1905" s="23"/>
      <c r="C1905" s="23"/>
      <c r="D1905" s="24"/>
      <c r="E1905" s="23"/>
      <c r="F1905" s="15" t="str">
        <f aca="false">IF(B1905="","",IFERROR(INDEX(Configurações!$B$7:$B$30,MATCH(B1905,Configurações!$A$7:$A$30,0)),"?"))</f>
        <v/>
      </c>
      <c r="G1905" s="25" t="str">
        <f aca="false">IF(A1905="","",A1905-WEEKDAY(A1905,2)+1)</f>
        <v/>
      </c>
      <c r="H1905" s="26" t="str">
        <f aca="false">IF(A1905="","",DATE(YEAR(A1905),MONTH(A1905),1))</f>
        <v/>
      </c>
    </row>
    <row r="1906" customFormat="false" ht="15" hidden="false" customHeight="false" outlineLevel="0" collapsed="false">
      <c r="A1906" s="22"/>
      <c r="B1906" s="23"/>
      <c r="C1906" s="23"/>
      <c r="D1906" s="24"/>
      <c r="E1906" s="23"/>
      <c r="F1906" s="15" t="str">
        <f aca="false">IF(B1906="","",IFERROR(INDEX(Configurações!$B$7:$B$30,MATCH(B1906,Configurações!$A$7:$A$30,0)),"?"))</f>
        <v/>
      </c>
      <c r="G1906" s="25" t="str">
        <f aca="false">IF(A1906="","",A1906-WEEKDAY(A1906,2)+1)</f>
        <v/>
      </c>
      <c r="H1906" s="26" t="str">
        <f aca="false">IF(A1906="","",DATE(YEAR(A1906),MONTH(A1906),1))</f>
        <v/>
      </c>
    </row>
    <row r="1907" customFormat="false" ht="15" hidden="false" customHeight="false" outlineLevel="0" collapsed="false">
      <c r="A1907" s="22"/>
      <c r="B1907" s="23"/>
      <c r="C1907" s="23"/>
      <c r="D1907" s="24"/>
      <c r="E1907" s="23"/>
      <c r="F1907" s="15" t="str">
        <f aca="false">IF(B1907="","",IFERROR(INDEX(Configurações!$B$7:$B$30,MATCH(B1907,Configurações!$A$7:$A$30,0)),"?"))</f>
        <v/>
      </c>
      <c r="G1907" s="25" t="str">
        <f aca="false">IF(A1907="","",A1907-WEEKDAY(A1907,2)+1)</f>
        <v/>
      </c>
      <c r="H1907" s="26" t="str">
        <f aca="false">IF(A1907="","",DATE(YEAR(A1907),MONTH(A1907),1))</f>
        <v/>
      </c>
    </row>
    <row r="1908" customFormat="false" ht="15" hidden="false" customHeight="false" outlineLevel="0" collapsed="false">
      <c r="A1908" s="22"/>
      <c r="B1908" s="23"/>
      <c r="C1908" s="23"/>
      <c r="D1908" s="24"/>
      <c r="E1908" s="23"/>
      <c r="F1908" s="15" t="str">
        <f aca="false">IF(B1908="","",IFERROR(INDEX(Configurações!$B$7:$B$30,MATCH(B1908,Configurações!$A$7:$A$30,0)),"?"))</f>
        <v/>
      </c>
      <c r="G1908" s="25" t="str">
        <f aca="false">IF(A1908="","",A1908-WEEKDAY(A1908,2)+1)</f>
        <v/>
      </c>
      <c r="H1908" s="26" t="str">
        <f aca="false">IF(A1908="","",DATE(YEAR(A1908),MONTH(A1908),1))</f>
        <v/>
      </c>
    </row>
    <row r="1909" customFormat="false" ht="15" hidden="false" customHeight="false" outlineLevel="0" collapsed="false">
      <c r="A1909" s="22"/>
      <c r="B1909" s="23"/>
      <c r="C1909" s="23"/>
      <c r="D1909" s="24"/>
      <c r="E1909" s="23"/>
      <c r="F1909" s="15" t="str">
        <f aca="false">IF(B1909="","",IFERROR(INDEX(Configurações!$B$7:$B$30,MATCH(B1909,Configurações!$A$7:$A$30,0)),"?"))</f>
        <v/>
      </c>
      <c r="G1909" s="25" t="str">
        <f aca="false">IF(A1909="","",A1909-WEEKDAY(A1909,2)+1)</f>
        <v/>
      </c>
      <c r="H1909" s="26" t="str">
        <f aca="false">IF(A1909="","",DATE(YEAR(A1909),MONTH(A1909),1))</f>
        <v/>
      </c>
    </row>
    <row r="1910" customFormat="false" ht="15" hidden="false" customHeight="false" outlineLevel="0" collapsed="false">
      <c r="A1910" s="22"/>
      <c r="B1910" s="23"/>
      <c r="C1910" s="23"/>
      <c r="D1910" s="24"/>
      <c r="E1910" s="23"/>
      <c r="F1910" s="15" t="str">
        <f aca="false">IF(B1910="","",IFERROR(INDEX(Configurações!$B$7:$B$30,MATCH(B1910,Configurações!$A$7:$A$30,0)),"?"))</f>
        <v/>
      </c>
      <c r="G1910" s="25" t="str">
        <f aca="false">IF(A1910="","",A1910-WEEKDAY(A1910,2)+1)</f>
        <v/>
      </c>
      <c r="H1910" s="26" t="str">
        <f aca="false">IF(A1910="","",DATE(YEAR(A1910),MONTH(A1910),1))</f>
        <v/>
      </c>
    </row>
    <row r="1911" customFormat="false" ht="15" hidden="false" customHeight="false" outlineLevel="0" collapsed="false">
      <c r="A1911" s="22"/>
      <c r="B1911" s="23"/>
      <c r="C1911" s="23"/>
      <c r="D1911" s="24"/>
      <c r="E1911" s="23"/>
      <c r="F1911" s="15" t="str">
        <f aca="false">IF(B1911="","",IFERROR(INDEX(Configurações!$B$7:$B$30,MATCH(B1911,Configurações!$A$7:$A$30,0)),"?"))</f>
        <v/>
      </c>
      <c r="G1911" s="25" t="str">
        <f aca="false">IF(A1911="","",A1911-WEEKDAY(A1911,2)+1)</f>
        <v/>
      </c>
      <c r="H1911" s="26" t="str">
        <f aca="false">IF(A1911="","",DATE(YEAR(A1911),MONTH(A1911),1))</f>
        <v/>
      </c>
    </row>
    <row r="1912" customFormat="false" ht="15" hidden="false" customHeight="false" outlineLevel="0" collapsed="false">
      <c r="A1912" s="22"/>
      <c r="B1912" s="23"/>
      <c r="C1912" s="23"/>
      <c r="D1912" s="24"/>
      <c r="E1912" s="23"/>
      <c r="F1912" s="15" t="str">
        <f aca="false">IF(B1912="","",IFERROR(INDEX(Configurações!$B$7:$B$30,MATCH(B1912,Configurações!$A$7:$A$30,0)),"?"))</f>
        <v/>
      </c>
      <c r="G1912" s="25" t="str">
        <f aca="false">IF(A1912="","",A1912-WEEKDAY(A1912,2)+1)</f>
        <v/>
      </c>
      <c r="H1912" s="26" t="str">
        <f aca="false">IF(A1912="","",DATE(YEAR(A1912),MONTH(A1912),1))</f>
        <v/>
      </c>
    </row>
    <row r="1913" customFormat="false" ht="15" hidden="false" customHeight="false" outlineLevel="0" collapsed="false">
      <c r="A1913" s="22"/>
      <c r="B1913" s="23"/>
      <c r="C1913" s="23"/>
      <c r="D1913" s="24"/>
      <c r="E1913" s="23"/>
      <c r="F1913" s="15" t="str">
        <f aca="false">IF(B1913="","",IFERROR(INDEX(Configurações!$B$7:$B$30,MATCH(B1913,Configurações!$A$7:$A$30,0)),"?"))</f>
        <v/>
      </c>
      <c r="G1913" s="25" t="str">
        <f aca="false">IF(A1913="","",A1913-WEEKDAY(A1913,2)+1)</f>
        <v/>
      </c>
      <c r="H1913" s="26" t="str">
        <f aca="false">IF(A1913="","",DATE(YEAR(A1913),MONTH(A1913),1))</f>
        <v/>
      </c>
    </row>
    <row r="1914" customFormat="false" ht="15" hidden="false" customHeight="false" outlineLevel="0" collapsed="false">
      <c r="A1914" s="22"/>
      <c r="B1914" s="23"/>
      <c r="C1914" s="23"/>
      <c r="D1914" s="24"/>
      <c r="E1914" s="23"/>
      <c r="F1914" s="15" t="str">
        <f aca="false">IF(B1914="","",IFERROR(INDEX(Configurações!$B$7:$B$30,MATCH(B1914,Configurações!$A$7:$A$30,0)),"?"))</f>
        <v/>
      </c>
      <c r="G1914" s="25" t="str">
        <f aca="false">IF(A1914="","",A1914-WEEKDAY(A1914,2)+1)</f>
        <v/>
      </c>
      <c r="H1914" s="26" t="str">
        <f aca="false">IF(A1914="","",DATE(YEAR(A1914),MONTH(A1914),1))</f>
        <v/>
      </c>
    </row>
    <row r="1915" customFormat="false" ht="15" hidden="false" customHeight="false" outlineLevel="0" collapsed="false">
      <c r="A1915" s="22"/>
      <c r="B1915" s="23"/>
      <c r="C1915" s="23"/>
      <c r="D1915" s="24"/>
      <c r="E1915" s="23"/>
      <c r="F1915" s="15" t="str">
        <f aca="false">IF(B1915="","",IFERROR(INDEX(Configurações!$B$7:$B$30,MATCH(B1915,Configurações!$A$7:$A$30,0)),"?"))</f>
        <v/>
      </c>
      <c r="G1915" s="25" t="str">
        <f aca="false">IF(A1915="","",A1915-WEEKDAY(A1915,2)+1)</f>
        <v/>
      </c>
      <c r="H1915" s="26" t="str">
        <f aca="false">IF(A1915="","",DATE(YEAR(A1915),MONTH(A1915),1))</f>
        <v/>
      </c>
    </row>
    <row r="1916" customFormat="false" ht="15" hidden="false" customHeight="false" outlineLevel="0" collapsed="false">
      <c r="A1916" s="22"/>
      <c r="B1916" s="23"/>
      <c r="C1916" s="23"/>
      <c r="D1916" s="24"/>
      <c r="E1916" s="23"/>
      <c r="F1916" s="15" t="str">
        <f aca="false">IF(B1916="","",IFERROR(INDEX(Configurações!$B$7:$B$30,MATCH(B1916,Configurações!$A$7:$A$30,0)),"?"))</f>
        <v/>
      </c>
      <c r="G1916" s="25" t="str">
        <f aca="false">IF(A1916="","",A1916-WEEKDAY(A1916,2)+1)</f>
        <v/>
      </c>
      <c r="H1916" s="26" t="str">
        <f aca="false">IF(A1916="","",DATE(YEAR(A1916),MONTH(A1916),1))</f>
        <v/>
      </c>
    </row>
    <row r="1917" customFormat="false" ht="15" hidden="false" customHeight="false" outlineLevel="0" collapsed="false">
      <c r="A1917" s="22"/>
      <c r="B1917" s="23"/>
      <c r="C1917" s="23"/>
      <c r="D1917" s="24"/>
      <c r="E1917" s="23"/>
      <c r="F1917" s="15" t="str">
        <f aca="false">IF(B1917="","",IFERROR(INDEX(Configurações!$B$7:$B$30,MATCH(B1917,Configurações!$A$7:$A$30,0)),"?"))</f>
        <v/>
      </c>
      <c r="G1917" s="25" t="str">
        <f aca="false">IF(A1917="","",A1917-WEEKDAY(A1917,2)+1)</f>
        <v/>
      </c>
      <c r="H1917" s="26" t="str">
        <f aca="false">IF(A1917="","",DATE(YEAR(A1917),MONTH(A1917),1))</f>
        <v/>
      </c>
    </row>
    <row r="1918" customFormat="false" ht="15" hidden="false" customHeight="false" outlineLevel="0" collapsed="false">
      <c r="A1918" s="22"/>
      <c r="B1918" s="23"/>
      <c r="C1918" s="23"/>
      <c r="D1918" s="24"/>
      <c r="E1918" s="23"/>
      <c r="F1918" s="15" t="str">
        <f aca="false">IF(B1918="","",IFERROR(INDEX(Configurações!$B$7:$B$30,MATCH(B1918,Configurações!$A$7:$A$30,0)),"?"))</f>
        <v/>
      </c>
      <c r="G1918" s="25" t="str">
        <f aca="false">IF(A1918="","",A1918-WEEKDAY(A1918,2)+1)</f>
        <v/>
      </c>
      <c r="H1918" s="26" t="str">
        <f aca="false">IF(A1918="","",DATE(YEAR(A1918),MONTH(A1918),1))</f>
        <v/>
      </c>
    </row>
    <row r="1919" customFormat="false" ht="15" hidden="false" customHeight="false" outlineLevel="0" collapsed="false">
      <c r="A1919" s="22"/>
      <c r="B1919" s="23"/>
      <c r="C1919" s="23"/>
      <c r="D1919" s="24"/>
      <c r="E1919" s="23"/>
      <c r="F1919" s="15" t="str">
        <f aca="false">IF(B1919="","",IFERROR(INDEX(Configurações!$B$7:$B$30,MATCH(B1919,Configurações!$A$7:$A$30,0)),"?"))</f>
        <v/>
      </c>
      <c r="G1919" s="25" t="str">
        <f aca="false">IF(A1919="","",A1919-WEEKDAY(A1919,2)+1)</f>
        <v/>
      </c>
      <c r="H1919" s="26" t="str">
        <f aca="false">IF(A1919="","",DATE(YEAR(A1919),MONTH(A1919),1))</f>
        <v/>
      </c>
    </row>
    <row r="1920" customFormat="false" ht="15" hidden="false" customHeight="false" outlineLevel="0" collapsed="false">
      <c r="A1920" s="22"/>
      <c r="B1920" s="23"/>
      <c r="C1920" s="23"/>
      <c r="D1920" s="24"/>
      <c r="E1920" s="23"/>
      <c r="F1920" s="15" t="str">
        <f aca="false">IF(B1920="","",IFERROR(INDEX(Configurações!$B$7:$B$30,MATCH(B1920,Configurações!$A$7:$A$30,0)),"?"))</f>
        <v/>
      </c>
      <c r="G1920" s="25" t="str">
        <f aca="false">IF(A1920="","",A1920-WEEKDAY(A1920,2)+1)</f>
        <v/>
      </c>
      <c r="H1920" s="26" t="str">
        <f aca="false">IF(A1920="","",DATE(YEAR(A1920),MONTH(A1920),1))</f>
        <v/>
      </c>
    </row>
    <row r="1921" customFormat="false" ht="15" hidden="false" customHeight="false" outlineLevel="0" collapsed="false">
      <c r="A1921" s="22"/>
      <c r="B1921" s="23"/>
      <c r="C1921" s="23"/>
      <c r="D1921" s="24"/>
      <c r="E1921" s="23"/>
      <c r="F1921" s="15" t="str">
        <f aca="false">IF(B1921="","",IFERROR(INDEX(Configurações!$B$7:$B$30,MATCH(B1921,Configurações!$A$7:$A$30,0)),"?"))</f>
        <v/>
      </c>
      <c r="G1921" s="25" t="str">
        <f aca="false">IF(A1921="","",A1921-WEEKDAY(A1921,2)+1)</f>
        <v/>
      </c>
      <c r="H1921" s="26" t="str">
        <f aca="false">IF(A1921="","",DATE(YEAR(A1921),MONTH(A1921),1))</f>
        <v/>
      </c>
    </row>
    <row r="1922" customFormat="false" ht="15" hidden="false" customHeight="false" outlineLevel="0" collapsed="false">
      <c r="A1922" s="22"/>
      <c r="B1922" s="23"/>
      <c r="C1922" s="23"/>
      <c r="D1922" s="24"/>
      <c r="E1922" s="23"/>
      <c r="F1922" s="15" t="str">
        <f aca="false">IF(B1922="","",IFERROR(INDEX(Configurações!$B$7:$B$30,MATCH(B1922,Configurações!$A$7:$A$30,0)),"?"))</f>
        <v/>
      </c>
      <c r="G1922" s="25" t="str">
        <f aca="false">IF(A1922="","",A1922-WEEKDAY(A1922,2)+1)</f>
        <v/>
      </c>
      <c r="H1922" s="26" t="str">
        <f aca="false">IF(A1922="","",DATE(YEAR(A1922),MONTH(A1922),1))</f>
        <v/>
      </c>
    </row>
    <row r="1923" customFormat="false" ht="15" hidden="false" customHeight="false" outlineLevel="0" collapsed="false">
      <c r="A1923" s="22"/>
      <c r="B1923" s="23"/>
      <c r="C1923" s="23"/>
      <c r="D1923" s="24"/>
      <c r="E1923" s="23"/>
      <c r="F1923" s="15" t="str">
        <f aca="false">IF(B1923="","",IFERROR(INDEX(Configurações!$B$7:$B$30,MATCH(B1923,Configurações!$A$7:$A$30,0)),"?"))</f>
        <v/>
      </c>
      <c r="G1923" s="25" t="str">
        <f aca="false">IF(A1923="","",A1923-WEEKDAY(A1923,2)+1)</f>
        <v/>
      </c>
      <c r="H1923" s="26" t="str">
        <f aca="false">IF(A1923="","",DATE(YEAR(A1923),MONTH(A1923),1))</f>
        <v/>
      </c>
    </row>
    <row r="1924" customFormat="false" ht="15" hidden="false" customHeight="false" outlineLevel="0" collapsed="false">
      <c r="A1924" s="22"/>
      <c r="B1924" s="23"/>
      <c r="C1924" s="23"/>
      <c r="D1924" s="24"/>
      <c r="E1924" s="23"/>
      <c r="F1924" s="15" t="str">
        <f aca="false">IF(B1924="","",IFERROR(INDEX(Configurações!$B$7:$B$30,MATCH(B1924,Configurações!$A$7:$A$30,0)),"?"))</f>
        <v/>
      </c>
      <c r="G1924" s="25" t="str">
        <f aca="false">IF(A1924="","",A1924-WEEKDAY(A1924,2)+1)</f>
        <v/>
      </c>
      <c r="H1924" s="26" t="str">
        <f aca="false">IF(A1924="","",DATE(YEAR(A1924),MONTH(A1924),1))</f>
        <v/>
      </c>
    </row>
    <row r="1925" customFormat="false" ht="15" hidden="false" customHeight="false" outlineLevel="0" collapsed="false">
      <c r="A1925" s="22"/>
      <c r="B1925" s="23"/>
      <c r="C1925" s="23"/>
      <c r="D1925" s="24"/>
      <c r="E1925" s="23"/>
      <c r="F1925" s="15" t="str">
        <f aca="false">IF(B1925="","",IFERROR(INDEX(Configurações!$B$7:$B$30,MATCH(B1925,Configurações!$A$7:$A$30,0)),"?"))</f>
        <v/>
      </c>
      <c r="G1925" s="25" t="str">
        <f aca="false">IF(A1925="","",A1925-WEEKDAY(A1925,2)+1)</f>
        <v/>
      </c>
      <c r="H1925" s="26" t="str">
        <f aca="false">IF(A1925="","",DATE(YEAR(A1925),MONTH(A1925),1))</f>
        <v/>
      </c>
    </row>
    <row r="1926" customFormat="false" ht="15" hidden="false" customHeight="false" outlineLevel="0" collapsed="false">
      <c r="A1926" s="22"/>
      <c r="B1926" s="23"/>
      <c r="C1926" s="23"/>
      <c r="D1926" s="24"/>
      <c r="E1926" s="23"/>
      <c r="F1926" s="15" t="str">
        <f aca="false">IF(B1926="","",IFERROR(INDEX(Configurações!$B$7:$B$30,MATCH(B1926,Configurações!$A$7:$A$30,0)),"?"))</f>
        <v/>
      </c>
      <c r="G1926" s="25" t="str">
        <f aca="false">IF(A1926="","",A1926-WEEKDAY(A1926,2)+1)</f>
        <v/>
      </c>
      <c r="H1926" s="26" t="str">
        <f aca="false">IF(A1926="","",DATE(YEAR(A1926),MONTH(A1926),1))</f>
        <v/>
      </c>
    </row>
    <row r="1927" customFormat="false" ht="15" hidden="false" customHeight="false" outlineLevel="0" collapsed="false">
      <c r="A1927" s="22"/>
      <c r="B1927" s="23"/>
      <c r="C1927" s="23"/>
      <c r="D1927" s="24"/>
      <c r="E1927" s="23"/>
      <c r="F1927" s="15" t="str">
        <f aca="false">IF(B1927="","",IFERROR(INDEX(Configurações!$B$7:$B$30,MATCH(B1927,Configurações!$A$7:$A$30,0)),"?"))</f>
        <v/>
      </c>
      <c r="G1927" s="25" t="str">
        <f aca="false">IF(A1927="","",A1927-WEEKDAY(A1927,2)+1)</f>
        <v/>
      </c>
      <c r="H1927" s="26" t="str">
        <f aca="false">IF(A1927="","",DATE(YEAR(A1927),MONTH(A1927),1))</f>
        <v/>
      </c>
    </row>
    <row r="1928" customFormat="false" ht="15" hidden="false" customHeight="false" outlineLevel="0" collapsed="false">
      <c r="A1928" s="22"/>
      <c r="B1928" s="23"/>
      <c r="C1928" s="23"/>
      <c r="D1928" s="24"/>
      <c r="E1928" s="23"/>
      <c r="F1928" s="15" t="str">
        <f aca="false">IF(B1928="","",IFERROR(INDEX(Configurações!$B$7:$B$30,MATCH(B1928,Configurações!$A$7:$A$30,0)),"?"))</f>
        <v/>
      </c>
      <c r="G1928" s="25" t="str">
        <f aca="false">IF(A1928="","",A1928-WEEKDAY(A1928,2)+1)</f>
        <v/>
      </c>
      <c r="H1928" s="26" t="str">
        <f aca="false">IF(A1928="","",DATE(YEAR(A1928),MONTH(A1928),1))</f>
        <v/>
      </c>
    </row>
    <row r="1929" customFormat="false" ht="15" hidden="false" customHeight="false" outlineLevel="0" collapsed="false">
      <c r="A1929" s="22"/>
      <c r="B1929" s="23"/>
      <c r="C1929" s="23"/>
      <c r="D1929" s="24"/>
      <c r="E1929" s="23"/>
      <c r="F1929" s="15" t="str">
        <f aca="false">IF(B1929="","",IFERROR(INDEX(Configurações!$B$7:$B$30,MATCH(B1929,Configurações!$A$7:$A$30,0)),"?"))</f>
        <v/>
      </c>
      <c r="G1929" s="25" t="str">
        <f aca="false">IF(A1929="","",A1929-WEEKDAY(A1929,2)+1)</f>
        <v/>
      </c>
      <c r="H1929" s="26" t="str">
        <f aca="false">IF(A1929="","",DATE(YEAR(A1929),MONTH(A1929),1))</f>
        <v/>
      </c>
    </row>
    <row r="1930" customFormat="false" ht="15" hidden="false" customHeight="false" outlineLevel="0" collapsed="false">
      <c r="A1930" s="22"/>
      <c r="B1930" s="23"/>
      <c r="C1930" s="23"/>
      <c r="D1930" s="24"/>
      <c r="E1930" s="23"/>
      <c r="F1930" s="15" t="str">
        <f aca="false">IF(B1930="","",IFERROR(INDEX(Configurações!$B$7:$B$30,MATCH(B1930,Configurações!$A$7:$A$30,0)),"?"))</f>
        <v/>
      </c>
      <c r="G1930" s="25" t="str">
        <f aca="false">IF(A1930="","",A1930-WEEKDAY(A1930,2)+1)</f>
        <v/>
      </c>
      <c r="H1930" s="26" t="str">
        <f aca="false">IF(A1930="","",DATE(YEAR(A1930),MONTH(A1930),1))</f>
        <v/>
      </c>
    </row>
    <row r="1931" customFormat="false" ht="15" hidden="false" customHeight="false" outlineLevel="0" collapsed="false">
      <c r="A1931" s="22"/>
      <c r="B1931" s="23"/>
      <c r="C1931" s="23"/>
      <c r="D1931" s="24"/>
      <c r="E1931" s="23"/>
      <c r="F1931" s="15" t="str">
        <f aca="false">IF(B1931="","",IFERROR(INDEX(Configurações!$B$7:$B$30,MATCH(B1931,Configurações!$A$7:$A$30,0)),"?"))</f>
        <v/>
      </c>
      <c r="G1931" s="25" t="str">
        <f aca="false">IF(A1931="","",A1931-WEEKDAY(A1931,2)+1)</f>
        <v/>
      </c>
      <c r="H1931" s="26" t="str">
        <f aca="false">IF(A1931="","",DATE(YEAR(A1931),MONTH(A1931),1))</f>
        <v/>
      </c>
    </row>
    <row r="1932" customFormat="false" ht="15" hidden="false" customHeight="false" outlineLevel="0" collapsed="false">
      <c r="A1932" s="22"/>
      <c r="B1932" s="23"/>
      <c r="C1932" s="23"/>
      <c r="D1932" s="24"/>
      <c r="E1932" s="23"/>
      <c r="F1932" s="15" t="str">
        <f aca="false">IF(B1932="","",IFERROR(INDEX(Configurações!$B$7:$B$30,MATCH(B1932,Configurações!$A$7:$A$30,0)),"?"))</f>
        <v/>
      </c>
      <c r="G1932" s="25" t="str">
        <f aca="false">IF(A1932="","",A1932-WEEKDAY(A1932,2)+1)</f>
        <v/>
      </c>
      <c r="H1932" s="26" t="str">
        <f aca="false">IF(A1932="","",DATE(YEAR(A1932),MONTH(A1932),1))</f>
        <v/>
      </c>
    </row>
    <row r="1933" customFormat="false" ht="15" hidden="false" customHeight="false" outlineLevel="0" collapsed="false">
      <c r="A1933" s="22"/>
      <c r="B1933" s="23"/>
      <c r="C1933" s="23"/>
      <c r="D1933" s="24"/>
      <c r="E1933" s="23"/>
      <c r="F1933" s="15" t="str">
        <f aca="false">IF(B1933="","",IFERROR(INDEX(Configurações!$B$7:$B$30,MATCH(B1933,Configurações!$A$7:$A$30,0)),"?"))</f>
        <v/>
      </c>
      <c r="G1933" s="25" t="str">
        <f aca="false">IF(A1933="","",A1933-WEEKDAY(A1933,2)+1)</f>
        <v/>
      </c>
      <c r="H1933" s="26" t="str">
        <f aca="false">IF(A1933="","",DATE(YEAR(A1933),MONTH(A1933),1))</f>
        <v/>
      </c>
    </row>
    <row r="1934" customFormat="false" ht="15" hidden="false" customHeight="false" outlineLevel="0" collapsed="false">
      <c r="A1934" s="22"/>
      <c r="B1934" s="23"/>
      <c r="C1934" s="23"/>
      <c r="D1934" s="24"/>
      <c r="E1934" s="23"/>
      <c r="F1934" s="15" t="str">
        <f aca="false">IF(B1934="","",IFERROR(INDEX(Configurações!$B$7:$B$30,MATCH(B1934,Configurações!$A$7:$A$30,0)),"?"))</f>
        <v/>
      </c>
      <c r="G1934" s="25" t="str">
        <f aca="false">IF(A1934="","",A1934-WEEKDAY(A1934,2)+1)</f>
        <v/>
      </c>
      <c r="H1934" s="26" t="str">
        <f aca="false">IF(A1934="","",DATE(YEAR(A1934),MONTH(A1934),1))</f>
        <v/>
      </c>
    </row>
    <row r="1935" customFormat="false" ht="15" hidden="false" customHeight="false" outlineLevel="0" collapsed="false">
      <c r="A1935" s="22"/>
      <c r="B1935" s="23"/>
      <c r="C1935" s="23"/>
      <c r="D1935" s="24"/>
      <c r="E1935" s="23"/>
      <c r="F1935" s="15" t="str">
        <f aca="false">IF(B1935="","",IFERROR(INDEX(Configurações!$B$7:$B$30,MATCH(B1935,Configurações!$A$7:$A$30,0)),"?"))</f>
        <v/>
      </c>
      <c r="G1935" s="25" t="str">
        <f aca="false">IF(A1935="","",A1935-WEEKDAY(A1935,2)+1)</f>
        <v/>
      </c>
      <c r="H1935" s="26" t="str">
        <f aca="false">IF(A1935="","",DATE(YEAR(A1935),MONTH(A1935),1))</f>
        <v/>
      </c>
    </row>
    <row r="1936" customFormat="false" ht="15" hidden="false" customHeight="false" outlineLevel="0" collapsed="false">
      <c r="A1936" s="22"/>
      <c r="B1936" s="23"/>
      <c r="C1936" s="23"/>
      <c r="D1936" s="24"/>
      <c r="E1936" s="23"/>
      <c r="F1936" s="15" t="str">
        <f aca="false">IF(B1936="","",IFERROR(INDEX(Configurações!$B$7:$B$30,MATCH(B1936,Configurações!$A$7:$A$30,0)),"?"))</f>
        <v/>
      </c>
      <c r="G1936" s="25" t="str">
        <f aca="false">IF(A1936="","",A1936-WEEKDAY(A1936,2)+1)</f>
        <v/>
      </c>
      <c r="H1936" s="26" t="str">
        <f aca="false">IF(A1936="","",DATE(YEAR(A1936),MONTH(A1936),1))</f>
        <v/>
      </c>
    </row>
    <row r="1937" customFormat="false" ht="15" hidden="false" customHeight="false" outlineLevel="0" collapsed="false">
      <c r="A1937" s="22"/>
      <c r="B1937" s="23"/>
      <c r="C1937" s="23"/>
      <c r="D1937" s="24"/>
      <c r="E1937" s="23"/>
      <c r="F1937" s="15" t="str">
        <f aca="false">IF(B1937="","",IFERROR(INDEX(Configurações!$B$7:$B$30,MATCH(B1937,Configurações!$A$7:$A$30,0)),"?"))</f>
        <v/>
      </c>
      <c r="G1937" s="25" t="str">
        <f aca="false">IF(A1937="","",A1937-WEEKDAY(A1937,2)+1)</f>
        <v/>
      </c>
      <c r="H1937" s="26" t="str">
        <f aca="false">IF(A1937="","",DATE(YEAR(A1937),MONTH(A1937),1))</f>
        <v/>
      </c>
    </row>
    <row r="1938" customFormat="false" ht="15" hidden="false" customHeight="false" outlineLevel="0" collapsed="false">
      <c r="A1938" s="22"/>
      <c r="B1938" s="23"/>
      <c r="C1938" s="23"/>
      <c r="D1938" s="24"/>
      <c r="E1938" s="23"/>
      <c r="F1938" s="15" t="str">
        <f aca="false">IF(B1938="","",IFERROR(INDEX(Configurações!$B$7:$B$30,MATCH(B1938,Configurações!$A$7:$A$30,0)),"?"))</f>
        <v/>
      </c>
      <c r="G1938" s="25" t="str">
        <f aca="false">IF(A1938="","",A1938-WEEKDAY(A1938,2)+1)</f>
        <v/>
      </c>
      <c r="H1938" s="26" t="str">
        <f aca="false">IF(A1938="","",DATE(YEAR(A1938),MONTH(A1938),1))</f>
        <v/>
      </c>
    </row>
    <row r="1939" customFormat="false" ht="15" hidden="false" customHeight="false" outlineLevel="0" collapsed="false">
      <c r="A1939" s="22"/>
      <c r="B1939" s="23"/>
      <c r="C1939" s="23"/>
      <c r="D1939" s="24"/>
      <c r="E1939" s="23"/>
      <c r="F1939" s="15" t="str">
        <f aca="false">IF(B1939="","",IFERROR(INDEX(Configurações!$B$7:$B$30,MATCH(B1939,Configurações!$A$7:$A$30,0)),"?"))</f>
        <v/>
      </c>
      <c r="G1939" s="25" t="str">
        <f aca="false">IF(A1939="","",A1939-WEEKDAY(A1939,2)+1)</f>
        <v/>
      </c>
      <c r="H1939" s="26" t="str">
        <f aca="false">IF(A1939="","",DATE(YEAR(A1939),MONTH(A1939),1))</f>
        <v/>
      </c>
    </row>
    <row r="1940" customFormat="false" ht="15" hidden="false" customHeight="false" outlineLevel="0" collapsed="false">
      <c r="A1940" s="22"/>
      <c r="B1940" s="23"/>
      <c r="C1940" s="23"/>
      <c r="D1940" s="24"/>
      <c r="E1940" s="23"/>
      <c r="F1940" s="15" t="str">
        <f aca="false">IF(B1940="","",IFERROR(INDEX(Configurações!$B$7:$B$30,MATCH(B1940,Configurações!$A$7:$A$30,0)),"?"))</f>
        <v/>
      </c>
      <c r="G1940" s="25" t="str">
        <f aca="false">IF(A1940="","",A1940-WEEKDAY(A1940,2)+1)</f>
        <v/>
      </c>
      <c r="H1940" s="26" t="str">
        <f aca="false">IF(A1940="","",DATE(YEAR(A1940),MONTH(A1940),1))</f>
        <v/>
      </c>
    </row>
    <row r="1941" customFormat="false" ht="15" hidden="false" customHeight="false" outlineLevel="0" collapsed="false">
      <c r="A1941" s="22"/>
      <c r="B1941" s="23"/>
      <c r="C1941" s="23"/>
      <c r="D1941" s="24"/>
      <c r="E1941" s="23"/>
      <c r="F1941" s="15" t="str">
        <f aca="false">IF(B1941="","",IFERROR(INDEX(Configurações!$B$7:$B$30,MATCH(B1941,Configurações!$A$7:$A$30,0)),"?"))</f>
        <v/>
      </c>
      <c r="G1941" s="25" t="str">
        <f aca="false">IF(A1941="","",A1941-WEEKDAY(A1941,2)+1)</f>
        <v/>
      </c>
      <c r="H1941" s="26" t="str">
        <f aca="false">IF(A1941="","",DATE(YEAR(A1941),MONTH(A1941),1))</f>
        <v/>
      </c>
    </row>
    <row r="1942" customFormat="false" ht="15" hidden="false" customHeight="false" outlineLevel="0" collapsed="false">
      <c r="A1942" s="22"/>
      <c r="B1942" s="23"/>
      <c r="C1942" s="23"/>
      <c r="D1942" s="24"/>
      <c r="E1942" s="23"/>
      <c r="F1942" s="15" t="str">
        <f aca="false">IF(B1942="","",IFERROR(INDEX(Configurações!$B$7:$B$30,MATCH(B1942,Configurações!$A$7:$A$30,0)),"?"))</f>
        <v/>
      </c>
      <c r="G1942" s="25" t="str">
        <f aca="false">IF(A1942="","",A1942-WEEKDAY(A1942,2)+1)</f>
        <v/>
      </c>
      <c r="H1942" s="26" t="str">
        <f aca="false">IF(A1942="","",DATE(YEAR(A1942),MONTH(A1942),1))</f>
        <v/>
      </c>
    </row>
    <row r="1943" customFormat="false" ht="15" hidden="false" customHeight="false" outlineLevel="0" collapsed="false">
      <c r="A1943" s="22"/>
      <c r="B1943" s="23"/>
      <c r="C1943" s="23"/>
      <c r="D1943" s="24"/>
      <c r="E1943" s="23"/>
      <c r="F1943" s="15" t="str">
        <f aca="false">IF(B1943="","",IFERROR(INDEX(Configurações!$B$7:$B$30,MATCH(B1943,Configurações!$A$7:$A$30,0)),"?"))</f>
        <v/>
      </c>
      <c r="G1943" s="25" t="str">
        <f aca="false">IF(A1943="","",A1943-WEEKDAY(A1943,2)+1)</f>
        <v/>
      </c>
      <c r="H1943" s="26" t="str">
        <f aca="false">IF(A1943="","",DATE(YEAR(A1943),MONTH(A1943),1))</f>
        <v/>
      </c>
    </row>
    <row r="1944" customFormat="false" ht="15" hidden="false" customHeight="false" outlineLevel="0" collapsed="false">
      <c r="A1944" s="22"/>
      <c r="B1944" s="23"/>
      <c r="C1944" s="23"/>
      <c r="D1944" s="24"/>
      <c r="E1944" s="23"/>
      <c r="F1944" s="15" t="str">
        <f aca="false">IF(B1944="","",IFERROR(INDEX(Configurações!$B$7:$B$30,MATCH(B1944,Configurações!$A$7:$A$30,0)),"?"))</f>
        <v/>
      </c>
      <c r="G1944" s="25" t="str">
        <f aca="false">IF(A1944="","",A1944-WEEKDAY(A1944,2)+1)</f>
        <v/>
      </c>
      <c r="H1944" s="26" t="str">
        <f aca="false">IF(A1944="","",DATE(YEAR(A1944),MONTH(A1944),1))</f>
        <v/>
      </c>
    </row>
    <row r="1945" customFormat="false" ht="15" hidden="false" customHeight="false" outlineLevel="0" collapsed="false">
      <c r="A1945" s="22"/>
      <c r="B1945" s="23"/>
      <c r="C1945" s="23"/>
      <c r="D1945" s="24"/>
      <c r="E1945" s="23"/>
      <c r="F1945" s="15" t="str">
        <f aca="false">IF(B1945="","",IFERROR(INDEX(Configurações!$B$7:$B$30,MATCH(B1945,Configurações!$A$7:$A$30,0)),"?"))</f>
        <v/>
      </c>
      <c r="G1945" s="25" t="str">
        <f aca="false">IF(A1945="","",A1945-WEEKDAY(A1945,2)+1)</f>
        <v/>
      </c>
      <c r="H1945" s="26" t="str">
        <f aca="false">IF(A1945="","",DATE(YEAR(A1945),MONTH(A1945),1))</f>
        <v/>
      </c>
    </row>
    <row r="1946" customFormat="false" ht="15" hidden="false" customHeight="false" outlineLevel="0" collapsed="false">
      <c r="A1946" s="22"/>
      <c r="B1946" s="23"/>
      <c r="C1946" s="23"/>
      <c r="D1946" s="24"/>
      <c r="E1946" s="23"/>
      <c r="F1946" s="15" t="str">
        <f aca="false">IF(B1946="","",IFERROR(INDEX(Configurações!$B$7:$B$30,MATCH(B1946,Configurações!$A$7:$A$30,0)),"?"))</f>
        <v/>
      </c>
      <c r="G1946" s="25" t="str">
        <f aca="false">IF(A1946="","",A1946-WEEKDAY(A1946,2)+1)</f>
        <v/>
      </c>
      <c r="H1946" s="26" t="str">
        <f aca="false">IF(A1946="","",DATE(YEAR(A1946),MONTH(A1946),1))</f>
        <v/>
      </c>
    </row>
    <row r="1947" customFormat="false" ht="15" hidden="false" customHeight="false" outlineLevel="0" collapsed="false">
      <c r="A1947" s="22"/>
      <c r="B1947" s="23"/>
      <c r="C1947" s="23"/>
      <c r="D1947" s="24"/>
      <c r="E1947" s="23"/>
      <c r="F1947" s="15" t="str">
        <f aca="false">IF(B1947="","",IFERROR(INDEX(Configurações!$B$7:$B$30,MATCH(B1947,Configurações!$A$7:$A$30,0)),"?"))</f>
        <v/>
      </c>
      <c r="G1947" s="25" t="str">
        <f aca="false">IF(A1947="","",A1947-WEEKDAY(A1947,2)+1)</f>
        <v/>
      </c>
      <c r="H1947" s="26" t="str">
        <f aca="false">IF(A1947="","",DATE(YEAR(A1947),MONTH(A1947),1))</f>
        <v/>
      </c>
    </row>
    <row r="1948" customFormat="false" ht="15" hidden="false" customHeight="false" outlineLevel="0" collapsed="false">
      <c r="A1948" s="22"/>
      <c r="B1948" s="23"/>
      <c r="C1948" s="23"/>
      <c r="D1948" s="24"/>
      <c r="E1948" s="23"/>
      <c r="F1948" s="15" t="str">
        <f aca="false">IF(B1948="","",IFERROR(INDEX(Configurações!$B$7:$B$30,MATCH(B1948,Configurações!$A$7:$A$30,0)),"?"))</f>
        <v/>
      </c>
      <c r="G1948" s="25" t="str">
        <f aca="false">IF(A1948="","",A1948-WEEKDAY(A1948,2)+1)</f>
        <v/>
      </c>
      <c r="H1948" s="26" t="str">
        <f aca="false">IF(A1948="","",DATE(YEAR(A1948),MONTH(A1948),1))</f>
        <v/>
      </c>
    </row>
    <row r="1949" customFormat="false" ht="15" hidden="false" customHeight="false" outlineLevel="0" collapsed="false">
      <c r="A1949" s="22"/>
      <c r="B1949" s="23"/>
      <c r="C1949" s="23"/>
      <c r="D1949" s="24"/>
      <c r="E1949" s="23"/>
      <c r="F1949" s="15" t="str">
        <f aca="false">IF(B1949="","",IFERROR(INDEX(Configurações!$B$7:$B$30,MATCH(B1949,Configurações!$A$7:$A$30,0)),"?"))</f>
        <v/>
      </c>
      <c r="G1949" s="25" t="str">
        <f aca="false">IF(A1949="","",A1949-WEEKDAY(A1949,2)+1)</f>
        <v/>
      </c>
      <c r="H1949" s="26" t="str">
        <f aca="false">IF(A1949="","",DATE(YEAR(A1949),MONTH(A1949),1))</f>
        <v/>
      </c>
    </row>
    <row r="1950" customFormat="false" ht="15" hidden="false" customHeight="false" outlineLevel="0" collapsed="false">
      <c r="A1950" s="22"/>
      <c r="B1950" s="23"/>
      <c r="C1950" s="23"/>
      <c r="D1950" s="24"/>
      <c r="E1950" s="23"/>
      <c r="F1950" s="15" t="str">
        <f aca="false">IF(B1950="","",IFERROR(INDEX(Configurações!$B$7:$B$30,MATCH(B1950,Configurações!$A$7:$A$30,0)),"?"))</f>
        <v/>
      </c>
      <c r="G1950" s="25" t="str">
        <f aca="false">IF(A1950="","",A1950-WEEKDAY(A1950,2)+1)</f>
        <v/>
      </c>
      <c r="H1950" s="26" t="str">
        <f aca="false">IF(A1950="","",DATE(YEAR(A1950),MONTH(A1950),1))</f>
        <v/>
      </c>
    </row>
    <row r="1951" customFormat="false" ht="15" hidden="false" customHeight="false" outlineLevel="0" collapsed="false">
      <c r="A1951" s="22"/>
      <c r="B1951" s="23"/>
      <c r="C1951" s="23"/>
      <c r="D1951" s="24"/>
      <c r="E1951" s="23"/>
      <c r="F1951" s="15" t="str">
        <f aca="false">IF(B1951="","",IFERROR(INDEX(Configurações!$B$7:$B$30,MATCH(B1951,Configurações!$A$7:$A$30,0)),"?"))</f>
        <v/>
      </c>
      <c r="G1951" s="25" t="str">
        <f aca="false">IF(A1951="","",A1951-WEEKDAY(A1951,2)+1)</f>
        <v/>
      </c>
      <c r="H1951" s="26" t="str">
        <f aca="false">IF(A1951="","",DATE(YEAR(A1951),MONTH(A1951),1))</f>
        <v/>
      </c>
    </row>
    <row r="1952" customFormat="false" ht="15" hidden="false" customHeight="false" outlineLevel="0" collapsed="false">
      <c r="A1952" s="22"/>
      <c r="B1952" s="23"/>
      <c r="C1952" s="23"/>
      <c r="D1952" s="24"/>
      <c r="E1952" s="23"/>
      <c r="F1952" s="15" t="str">
        <f aca="false">IF(B1952="","",IFERROR(INDEX(Configurações!$B$7:$B$30,MATCH(B1952,Configurações!$A$7:$A$30,0)),"?"))</f>
        <v/>
      </c>
      <c r="G1952" s="25" t="str">
        <f aca="false">IF(A1952="","",A1952-WEEKDAY(A1952,2)+1)</f>
        <v/>
      </c>
      <c r="H1952" s="26" t="str">
        <f aca="false">IF(A1952="","",DATE(YEAR(A1952),MONTH(A1952),1))</f>
        <v/>
      </c>
    </row>
    <row r="1953" customFormat="false" ht="15" hidden="false" customHeight="false" outlineLevel="0" collapsed="false">
      <c r="A1953" s="22"/>
      <c r="B1953" s="23"/>
      <c r="C1953" s="23"/>
      <c r="D1953" s="24"/>
      <c r="E1953" s="23"/>
      <c r="F1953" s="15" t="str">
        <f aca="false">IF(B1953="","",IFERROR(INDEX(Configurações!$B$7:$B$30,MATCH(B1953,Configurações!$A$7:$A$30,0)),"?"))</f>
        <v/>
      </c>
      <c r="G1953" s="25" t="str">
        <f aca="false">IF(A1953="","",A1953-WEEKDAY(A1953,2)+1)</f>
        <v/>
      </c>
      <c r="H1953" s="26" t="str">
        <f aca="false">IF(A1953="","",DATE(YEAR(A1953),MONTH(A1953),1))</f>
        <v/>
      </c>
    </row>
    <row r="1954" customFormat="false" ht="15" hidden="false" customHeight="false" outlineLevel="0" collapsed="false">
      <c r="A1954" s="22"/>
      <c r="B1954" s="23"/>
      <c r="C1954" s="23"/>
      <c r="D1954" s="24"/>
      <c r="E1954" s="23"/>
      <c r="F1954" s="15" t="str">
        <f aca="false">IF(B1954="","",IFERROR(INDEX(Configurações!$B$7:$B$30,MATCH(B1954,Configurações!$A$7:$A$30,0)),"?"))</f>
        <v/>
      </c>
      <c r="G1954" s="25" t="str">
        <f aca="false">IF(A1954="","",A1954-WEEKDAY(A1954,2)+1)</f>
        <v/>
      </c>
      <c r="H1954" s="26" t="str">
        <f aca="false">IF(A1954="","",DATE(YEAR(A1954),MONTH(A1954),1))</f>
        <v/>
      </c>
    </row>
    <row r="1955" customFormat="false" ht="15" hidden="false" customHeight="false" outlineLevel="0" collapsed="false">
      <c r="A1955" s="22"/>
      <c r="B1955" s="23"/>
      <c r="C1955" s="23"/>
      <c r="D1955" s="24"/>
      <c r="E1955" s="23"/>
      <c r="F1955" s="15" t="str">
        <f aca="false">IF(B1955="","",IFERROR(INDEX(Configurações!$B$7:$B$30,MATCH(B1955,Configurações!$A$7:$A$30,0)),"?"))</f>
        <v/>
      </c>
      <c r="G1955" s="25" t="str">
        <f aca="false">IF(A1955="","",A1955-WEEKDAY(A1955,2)+1)</f>
        <v/>
      </c>
      <c r="H1955" s="26" t="str">
        <f aca="false">IF(A1955="","",DATE(YEAR(A1955),MONTH(A1955),1))</f>
        <v/>
      </c>
    </row>
    <row r="1956" customFormat="false" ht="15" hidden="false" customHeight="false" outlineLevel="0" collapsed="false">
      <c r="A1956" s="22"/>
      <c r="B1956" s="23"/>
      <c r="C1956" s="23"/>
      <c r="D1956" s="24"/>
      <c r="E1956" s="23"/>
      <c r="F1956" s="15" t="str">
        <f aca="false">IF(B1956="","",IFERROR(INDEX(Configurações!$B$7:$B$30,MATCH(B1956,Configurações!$A$7:$A$30,0)),"?"))</f>
        <v/>
      </c>
      <c r="G1956" s="25" t="str">
        <f aca="false">IF(A1956="","",A1956-WEEKDAY(A1956,2)+1)</f>
        <v/>
      </c>
      <c r="H1956" s="26" t="str">
        <f aca="false">IF(A1956="","",DATE(YEAR(A1956),MONTH(A1956),1))</f>
        <v/>
      </c>
    </row>
    <row r="1957" customFormat="false" ht="15" hidden="false" customHeight="false" outlineLevel="0" collapsed="false">
      <c r="A1957" s="22"/>
      <c r="B1957" s="23"/>
      <c r="C1957" s="23"/>
      <c r="D1957" s="24"/>
      <c r="E1957" s="23"/>
      <c r="F1957" s="15" t="str">
        <f aca="false">IF(B1957="","",IFERROR(INDEX(Configurações!$B$7:$B$30,MATCH(B1957,Configurações!$A$7:$A$30,0)),"?"))</f>
        <v/>
      </c>
      <c r="G1957" s="25" t="str">
        <f aca="false">IF(A1957="","",A1957-WEEKDAY(A1957,2)+1)</f>
        <v/>
      </c>
      <c r="H1957" s="26" t="str">
        <f aca="false">IF(A1957="","",DATE(YEAR(A1957),MONTH(A1957),1))</f>
        <v/>
      </c>
    </row>
    <row r="1958" customFormat="false" ht="15" hidden="false" customHeight="false" outlineLevel="0" collapsed="false">
      <c r="A1958" s="22"/>
      <c r="B1958" s="23"/>
      <c r="C1958" s="23"/>
      <c r="D1958" s="24"/>
      <c r="E1958" s="23"/>
      <c r="F1958" s="15" t="str">
        <f aca="false">IF(B1958="","",IFERROR(INDEX(Configurações!$B$7:$B$30,MATCH(B1958,Configurações!$A$7:$A$30,0)),"?"))</f>
        <v/>
      </c>
      <c r="G1958" s="25" t="str">
        <f aca="false">IF(A1958="","",A1958-WEEKDAY(A1958,2)+1)</f>
        <v/>
      </c>
      <c r="H1958" s="26" t="str">
        <f aca="false">IF(A1958="","",DATE(YEAR(A1958),MONTH(A1958),1))</f>
        <v/>
      </c>
    </row>
    <row r="1959" customFormat="false" ht="15" hidden="false" customHeight="false" outlineLevel="0" collapsed="false">
      <c r="A1959" s="22"/>
      <c r="B1959" s="23"/>
      <c r="C1959" s="23"/>
      <c r="D1959" s="24"/>
      <c r="E1959" s="23"/>
      <c r="F1959" s="15" t="str">
        <f aca="false">IF(B1959="","",IFERROR(INDEX(Configurações!$B$7:$B$30,MATCH(B1959,Configurações!$A$7:$A$30,0)),"?"))</f>
        <v/>
      </c>
      <c r="G1959" s="25" t="str">
        <f aca="false">IF(A1959="","",A1959-WEEKDAY(A1959,2)+1)</f>
        <v/>
      </c>
      <c r="H1959" s="26" t="str">
        <f aca="false">IF(A1959="","",DATE(YEAR(A1959),MONTH(A1959),1))</f>
        <v/>
      </c>
    </row>
    <row r="1960" customFormat="false" ht="15" hidden="false" customHeight="false" outlineLevel="0" collapsed="false">
      <c r="A1960" s="22"/>
      <c r="B1960" s="23"/>
      <c r="C1960" s="23"/>
      <c r="D1960" s="24"/>
      <c r="E1960" s="23"/>
      <c r="F1960" s="15" t="str">
        <f aca="false">IF(B1960="","",IFERROR(INDEX(Configurações!$B$7:$B$30,MATCH(B1960,Configurações!$A$7:$A$30,0)),"?"))</f>
        <v/>
      </c>
      <c r="G1960" s="25" t="str">
        <f aca="false">IF(A1960="","",A1960-WEEKDAY(A1960,2)+1)</f>
        <v/>
      </c>
      <c r="H1960" s="26" t="str">
        <f aca="false">IF(A1960="","",DATE(YEAR(A1960),MONTH(A1960),1))</f>
        <v/>
      </c>
    </row>
    <row r="1961" customFormat="false" ht="15" hidden="false" customHeight="false" outlineLevel="0" collapsed="false">
      <c r="A1961" s="22"/>
      <c r="B1961" s="23"/>
      <c r="C1961" s="23"/>
      <c r="D1961" s="24"/>
      <c r="E1961" s="23"/>
      <c r="F1961" s="15" t="str">
        <f aca="false">IF(B1961="","",IFERROR(INDEX(Configurações!$B$7:$B$30,MATCH(B1961,Configurações!$A$7:$A$30,0)),"?"))</f>
        <v/>
      </c>
      <c r="G1961" s="25" t="str">
        <f aca="false">IF(A1961="","",A1961-WEEKDAY(A1961,2)+1)</f>
        <v/>
      </c>
      <c r="H1961" s="26" t="str">
        <f aca="false">IF(A1961="","",DATE(YEAR(A1961),MONTH(A1961),1))</f>
        <v/>
      </c>
    </row>
    <row r="1962" customFormat="false" ht="15" hidden="false" customHeight="false" outlineLevel="0" collapsed="false">
      <c r="A1962" s="22"/>
      <c r="B1962" s="23"/>
      <c r="C1962" s="23"/>
      <c r="D1962" s="24"/>
      <c r="E1962" s="23"/>
      <c r="F1962" s="15" t="str">
        <f aca="false">IF(B1962="","",IFERROR(INDEX(Configurações!$B$7:$B$30,MATCH(B1962,Configurações!$A$7:$A$30,0)),"?"))</f>
        <v/>
      </c>
      <c r="G1962" s="25" t="str">
        <f aca="false">IF(A1962="","",A1962-WEEKDAY(A1962,2)+1)</f>
        <v/>
      </c>
      <c r="H1962" s="26" t="str">
        <f aca="false">IF(A1962="","",DATE(YEAR(A1962),MONTH(A1962),1))</f>
        <v/>
      </c>
    </row>
    <row r="1963" customFormat="false" ht="15" hidden="false" customHeight="false" outlineLevel="0" collapsed="false">
      <c r="A1963" s="22"/>
      <c r="B1963" s="23"/>
      <c r="C1963" s="23"/>
      <c r="D1963" s="24"/>
      <c r="E1963" s="23"/>
      <c r="F1963" s="15" t="str">
        <f aca="false">IF(B1963="","",IFERROR(INDEX(Configurações!$B$7:$B$30,MATCH(B1963,Configurações!$A$7:$A$30,0)),"?"))</f>
        <v/>
      </c>
      <c r="G1963" s="25" t="str">
        <f aca="false">IF(A1963="","",A1963-WEEKDAY(A1963,2)+1)</f>
        <v/>
      </c>
      <c r="H1963" s="26" t="str">
        <f aca="false">IF(A1963="","",DATE(YEAR(A1963),MONTH(A1963),1))</f>
        <v/>
      </c>
    </row>
    <row r="1964" customFormat="false" ht="15" hidden="false" customHeight="false" outlineLevel="0" collapsed="false">
      <c r="A1964" s="22"/>
      <c r="B1964" s="23"/>
      <c r="C1964" s="23"/>
      <c r="D1964" s="24"/>
      <c r="E1964" s="23"/>
      <c r="F1964" s="15" t="str">
        <f aca="false">IF(B1964="","",IFERROR(INDEX(Configurações!$B$7:$B$30,MATCH(B1964,Configurações!$A$7:$A$30,0)),"?"))</f>
        <v/>
      </c>
      <c r="G1964" s="25" t="str">
        <f aca="false">IF(A1964="","",A1964-WEEKDAY(A1964,2)+1)</f>
        <v/>
      </c>
      <c r="H1964" s="26" t="str">
        <f aca="false">IF(A1964="","",DATE(YEAR(A1964),MONTH(A1964),1))</f>
        <v/>
      </c>
    </row>
    <row r="1965" customFormat="false" ht="15" hidden="false" customHeight="false" outlineLevel="0" collapsed="false">
      <c r="A1965" s="22"/>
      <c r="B1965" s="23"/>
      <c r="C1965" s="23"/>
      <c r="D1965" s="24"/>
      <c r="E1965" s="23"/>
      <c r="F1965" s="15" t="str">
        <f aca="false">IF(B1965="","",IFERROR(INDEX(Configurações!$B$7:$B$30,MATCH(B1965,Configurações!$A$7:$A$30,0)),"?"))</f>
        <v/>
      </c>
      <c r="G1965" s="25" t="str">
        <f aca="false">IF(A1965="","",A1965-WEEKDAY(A1965,2)+1)</f>
        <v/>
      </c>
      <c r="H1965" s="26" t="str">
        <f aca="false">IF(A1965="","",DATE(YEAR(A1965),MONTH(A1965),1))</f>
        <v/>
      </c>
    </row>
    <row r="1966" customFormat="false" ht="15" hidden="false" customHeight="false" outlineLevel="0" collapsed="false">
      <c r="A1966" s="22"/>
      <c r="B1966" s="23"/>
      <c r="C1966" s="23"/>
      <c r="D1966" s="24"/>
      <c r="E1966" s="23"/>
      <c r="F1966" s="15" t="str">
        <f aca="false">IF(B1966="","",IFERROR(INDEX(Configurações!$B$7:$B$30,MATCH(B1966,Configurações!$A$7:$A$30,0)),"?"))</f>
        <v/>
      </c>
      <c r="G1966" s="25" t="str">
        <f aca="false">IF(A1966="","",A1966-WEEKDAY(A1966,2)+1)</f>
        <v/>
      </c>
      <c r="H1966" s="26" t="str">
        <f aca="false">IF(A1966="","",DATE(YEAR(A1966),MONTH(A1966),1))</f>
        <v/>
      </c>
    </row>
    <row r="1967" customFormat="false" ht="15" hidden="false" customHeight="false" outlineLevel="0" collapsed="false">
      <c r="A1967" s="22"/>
      <c r="B1967" s="23"/>
      <c r="C1967" s="23"/>
      <c r="D1967" s="24"/>
      <c r="E1967" s="23"/>
      <c r="F1967" s="15" t="str">
        <f aca="false">IF(B1967="","",IFERROR(INDEX(Configurações!$B$7:$B$30,MATCH(B1967,Configurações!$A$7:$A$30,0)),"?"))</f>
        <v/>
      </c>
      <c r="G1967" s="25" t="str">
        <f aca="false">IF(A1967="","",A1967-WEEKDAY(A1967,2)+1)</f>
        <v/>
      </c>
      <c r="H1967" s="26" t="str">
        <f aca="false">IF(A1967="","",DATE(YEAR(A1967),MONTH(A1967),1))</f>
        <v/>
      </c>
    </row>
    <row r="1968" customFormat="false" ht="15" hidden="false" customHeight="false" outlineLevel="0" collapsed="false">
      <c r="A1968" s="22"/>
      <c r="B1968" s="23"/>
      <c r="C1968" s="23"/>
      <c r="D1968" s="24"/>
      <c r="E1968" s="23"/>
      <c r="F1968" s="15" t="str">
        <f aca="false">IF(B1968="","",IFERROR(INDEX(Configurações!$B$7:$B$30,MATCH(B1968,Configurações!$A$7:$A$30,0)),"?"))</f>
        <v/>
      </c>
      <c r="G1968" s="25" t="str">
        <f aca="false">IF(A1968="","",A1968-WEEKDAY(A1968,2)+1)</f>
        <v/>
      </c>
      <c r="H1968" s="26" t="str">
        <f aca="false">IF(A1968="","",DATE(YEAR(A1968),MONTH(A1968),1))</f>
        <v/>
      </c>
    </row>
    <row r="1969" customFormat="false" ht="15" hidden="false" customHeight="false" outlineLevel="0" collapsed="false">
      <c r="A1969" s="22"/>
      <c r="B1969" s="23"/>
      <c r="C1969" s="23"/>
      <c r="D1969" s="24"/>
      <c r="E1969" s="23"/>
      <c r="F1969" s="15" t="str">
        <f aca="false">IF(B1969="","",IFERROR(INDEX(Configurações!$B$7:$B$30,MATCH(B1969,Configurações!$A$7:$A$30,0)),"?"))</f>
        <v/>
      </c>
      <c r="G1969" s="25" t="str">
        <f aca="false">IF(A1969="","",A1969-WEEKDAY(A1969,2)+1)</f>
        <v/>
      </c>
      <c r="H1969" s="26" t="str">
        <f aca="false">IF(A1969="","",DATE(YEAR(A1969),MONTH(A1969),1))</f>
        <v/>
      </c>
    </row>
    <row r="1970" customFormat="false" ht="15" hidden="false" customHeight="false" outlineLevel="0" collapsed="false">
      <c r="A1970" s="22"/>
      <c r="B1970" s="23"/>
      <c r="C1970" s="23"/>
      <c r="D1970" s="24"/>
      <c r="E1970" s="23"/>
      <c r="F1970" s="15" t="str">
        <f aca="false">IF(B1970="","",IFERROR(INDEX(Configurações!$B$7:$B$30,MATCH(B1970,Configurações!$A$7:$A$30,0)),"?"))</f>
        <v/>
      </c>
      <c r="G1970" s="25" t="str">
        <f aca="false">IF(A1970="","",A1970-WEEKDAY(A1970,2)+1)</f>
        <v/>
      </c>
      <c r="H1970" s="26" t="str">
        <f aca="false">IF(A1970="","",DATE(YEAR(A1970),MONTH(A1970),1))</f>
        <v/>
      </c>
    </row>
    <row r="1971" customFormat="false" ht="15" hidden="false" customHeight="false" outlineLevel="0" collapsed="false">
      <c r="A1971" s="22"/>
      <c r="B1971" s="23"/>
      <c r="C1971" s="23"/>
      <c r="D1971" s="24"/>
      <c r="E1971" s="23"/>
      <c r="F1971" s="15" t="str">
        <f aca="false">IF(B1971="","",IFERROR(INDEX(Configurações!$B$7:$B$30,MATCH(B1971,Configurações!$A$7:$A$30,0)),"?"))</f>
        <v/>
      </c>
      <c r="G1971" s="25" t="str">
        <f aca="false">IF(A1971="","",A1971-WEEKDAY(A1971,2)+1)</f>
        <v/>
      </c>
      <c r="H1971" s="26" t="str">
        <f aca="false">IF(A1971="","",DATE(YEAR(A1971),MONTH(A1971),1))</f>
        <v/>
      </c>
    </row>
    <row r="1972" customFormat="false" ht="15" hidden="false" customHeight="false" outlineLevel="0" collapsed="false">
      <c r="A1972" s="22"/>
      <c r="B1972" s="23"/>
      <c r="C1972" s="23"/>
      <c r="D1972" s="24"/>
      <c r="E1972" s="23"/>
      <c r="F1972" s="15" t="str">
        <f aca="false">IF(B1972="","",IFERROR(INDEX(Configurações!$B$7:$B$30,MATCH(B1972,Configurações!$A$7:$A$30,0)),"?"))</f>
        <v/>
      </c>
      <c r="G1972" s="25" t="str">
        <f aca="false">IF(A1972="","",A1972-WEEKDAY(A1972,2)+1)</f>
        <v/>
      </c>
      <c r="H1972" s="26" t="str">
        <f aca="false">IF(A1972="","",DATE(YEAR(A1972),MONTH(A1972),1))</f>
        <v/>
      </c>
    </row>
    <row r="1973" customFormat="false" ht="15" hidden="false" customHeight="false" outlineLevel="0" collapsed="false">
      <c r="A1973" s="22"/>
      <c r="B1973" s="23"/>
      <c r="C1973" s="23"/>
      <c r="D1973" s="24"/>
      <c r="E1973" s="23"/>
      <c r="F1973" s="15" t="str">
        <f aca="false">IF(B1973="","",IFERROR(INDEX(Configurações!$B$7:$B$30,MATCH(B1973,Configurações!$A$7:$A$30,0)),"?"))</f>
        <v/>
      </c>
      <c r="G1973" s="25" t="str">
        <f aca="false">IF(A1973="","",A1973-WEEKDAY(A1973,2)+1)</f>
        <v/>
      </c>
      <c r="H1973" s="26" t="str">
        <f aca="false">IF(A1973="","",DATE(YEAR(A1973),MONTH(A1973),1))</f>
        <v/>
      </c>
    </row>
    <row r="1974" customFormat="false" ht="15" hidden="false" customHeight="false" outlineLevel="0" collapsed="false">
      <c r="A1974" s="22"/>
      <c r="B1974" s="23"/>
      <c r="C1974" s="23"/>
      <c r="D1974" s="24"/>
      <c r="E1974" s="23"/>
      <c r="F1974" s="15" t="str">
        <f aca="false">IF(B1974="","",IFERROR(INDEX(Configurações!$B$7:$B$30,MATCH(B1974,Configurações!$A$7:$A$30,0)),"?"))</f>
        <v/>
      </c>
      <c r="G1974" s="25" t="str">
        <f aca="false">IF(A1974="","",A1974-WEEKDAY(A1974,2)+1)</f>
        <v/>
      </c>
      <c r="H1974" s="26" t="str">
        <f aca="false">IF(A1974="","",DATE(YEAR(A1974),MONTH(A1974),1))</f>
        <v/>
      </c>
    </row>
    <row r="1975" customFormat="false" ht="15" hidden="false" customHeight="false" outlineLevel="0" collapsed="false">
      <c r="A1975" s="22"/>
      <c r="B1975" s="23"/>
      <c r="C1975" s="23"/>
      <c r="D1975" s="24"/>
      <c r="E1975" s="23"/>
      <c r="F1975" s="15" t="str">
        <f aca="false">IF(B1975="","",IFERROR(INDEX(Configurações!$B$7:$B$30,MATCH(B1975,Configurações!$A$7:$A$30,0)),"?"))</f>
        <v/>
      </c>
      <c r="G1975" s="25" t="str">
        <f aca="false">IF(A1975="","",A1975-WEEKDAY(A1975,2)+1)</f>
        <v/>
      </c>
      <c r="H1975" s="26" t="str">
        <f aca="false">IF(A1975="","",DATE(YEAR(A1975),MONTH(A1975),1))</f>
        <v/>
      </c>
    </row>
    <row r="1976" customFormat="false" ht="15" hidden="false" customHeight="false" outlineLevel="0" collapsed="false">
      <c r="A1976" s="22"/>
      <c r="B1976" s="23"/>
      <c r="C1976" s="23"/>
      <c r="D1976" s="24"/>
      <c r="E1976" s="23"/>
      <c r="F1976" s="15" t="str">
        <f aca="false">IF(B1976="","",IFERROR(INDEX(Configurações!$B$7:$B$30,MATCH(B1976,Configurações!$A$7:$A$30,0)),"?"))</f>
        <v/>
      </c>
      <c r="G1976" s="25" t="str">
        <f aca="false">IF(A1976="","",A1976-WEEKDAY(A1976,2)+1)</f>
        <v/>
      </c>
      <c r="H1976" s="26" t="str">
        <f aca="false">IF(A1976="","",DATE(YEAR(A1976),MONTH(A1976),1))</f>
        <v/>
      </c>
    </row>
    <row r="1977" customFormat="false" ht="15" hidden="false" customHeight="false" outlineLevel="0" collapsed="false">
      <c r="A1977" s="22"/>
      <c r="B1977" s="23"/>
      <c r="C1977" s="23"/>
      <c r="D1977" s="24"/>
      <c r="E1977" s="23"/>
      <c r="F1977" s="15" t="str">
        <f aca="false">IF(B1977="","",IFERROR(INDEX(Configurações!$B$7:$B$30,MATCH(B1977,Configurações!$A$7:$A$30,0)),"?"))</f>
        <v/>
      </c>
      <c r="G1977" s="25" t="str">
        <f aca="false">IF(A1977="","",A1977-WEEKDAY(A1977,2)+1)</f>
        <v/>
      </c>
      <c r="H1977" s="26" t="str">
        <f aca="false">IF(A1977="","",DATE(YEAR(A1977),MONTH(A1977),1))</f>
        <v/>
      </c>
    </row>
    <row r="1978" customFormat="false" ht="15" hidden="false" customHeight="false" outlineLevel="0" collapsed="false">
      <c r="A1978" s="22"/>
      <c r="B1978" s="23"/>
      <c r="C1978" s="23"/>
      <c r="D1978" s="24"/>
      <c r="E1978" s="23"/>
      <c r="F1978" s="15" t="str">
        <f aca="false">IF(B1978="","",IFERROR(INDEX(Configurações!$B$7:$B$30,MATCH(B1978,Configurações!$A$7:$A$30,0)),"?"))</f>
        <v/>
      </c>
      <c r="G1978" s="25" t="str">
        <f aca="false">IF(A1978="","",A1978-WEEKDAY(A1978,2)+1)</f>
        <v/>
      </c>
      <c r="H1978" s="26" t="str">
        <f aca="false">IF(A1978="","",DATE(YEAR(A1978),MONTH(A1978),1))</f>
        <v/>
      </c>
    </row>
    <row r="1979" customFormat="false" ht="15" hidden="false" customHeight="false" outlineLevel="0" collapsed="false">
      <c r="A1979" s="22"/>
      <c r="B1979" s="23"/>
      <c r="C1979" s="23"/>
      <c r="D1979" s="24"/>
      <c r="E1979" s="23"/>
      <c r="F1979" s="15" t="str">
        <f aca="false">IF(B1979="","",IFERROR(INDEX(Configurações!$B$7:$B$30,MATCH(B1979,Configurações!$A$7:$A$30,0)),"?"))</f>
        <v/>
      </c>
      <c r="G1979" s="25" t="str">
        <f aca="false">IF(A1979="","",A1979-WEEKDAY(A1979,2)+1)</f>
        <v/>
      </c>
      <c r="H1979" s="26" t="str">
        <f aca="false">IF(A1979="","",DATE(YEAR(A1979),MONTH(A1979),1))</f>
        <v/>
      </c>
    </row>
    <row r="1980" customFormat="false" ht="15" hidden="false" customHeight="false" outlineLevel="0" collapsed="false">
      <c r="A1980" s="22"/>
      <c r="B1980" s="23"/>
      <c r="C1980" s="23"/>
      <c r="D1980" s="24"/>
      <c r="E1980" s="23"/>
      <c r="F1980" s="15" t="str">
        <f aca="false">IF(B1980="","",IFERROR(INDEX(Configurações!$B$7:$B$30,MATCH(B1980,Configurações!$A$7:$A$30,0)),"?"))</f>
        <v/>
      </c>
      <c r="G1980" s="25" t="str">
        <f aca="false">IF(A1980="","",A1980-WEEKDAY(A1980,2)+1)</f>
        <v/>
      </c>
      <c r="H1980" s="26" t="str">
        <f aca="false">IF(A1980="","",DATE(YEAR(A1980),MONTH(A1980),1))</f>
        <v/>
      </c>
    </row>
    <row r="1981" customFormat="false" ht="15" hidden="false" customHeight="false" outlineLevel="0" collapsed="false">
      <c r="A1981" s="22"/>
      <c r="B1981" s="23"/>
      <c r="C1981" s="23"/>
      <c r="D1981" s="24"/>
      <c r="E1981" s="23"/>
      <c r="F1981" s="15" t="str">
        <f aca="false">IF(B1981="","",IFERROR(INDEX(Configurações!$B$7:$B$30,MATCH(B1981,Configurações!$A$7:$A$30,0)),"?"))</f>
        <v/>
      </c>
      <c r="G1981" s="25" t="str">
        <f aca="false">IF(A1981="","",A1981-WEEKDAY(A1981,2)+1)</f>
        <v/>
      </c>
      <c r="H1981" s="26" t="str">
        <f aca="false">IF(A1981="","",DATE(YEAR(A1981),MONTH(A1981),1))</f>
        <v/>
      </c>
    </row>
    <row r="1982" customFormat="false" ht="15" hidden="false" customHeight="false" outlineLevel="0" collapsed="false">
      <c r="A1982" s="22"/>
      <c r="B1982" s="23"/>
      <c r="C1982" s="23"/>
      <c r="D1982" s="24"/>
      <c r="E1982" s="23"/>
      <c r="F1982" s="15" t="str">
        <f aca="false">IF(B1982="","",IFERROR(INDEX(Configurações!$B$7:$B$30,MATCH(B1982,Configurações!$A$7:$A$30,0)),"?"))</f>
        <v/>
      </c>
      <c r="G1982" s="25" t="str">
        <f aca="false">IF(A1982="","",A1982-WEEKDAY(A1982,2)+1)</f>
        <v/>
      </c>
      <c r="H1982" s="26" t="str">
        <f aca="false">IF(A1982="","",DATE(YEAR(A1982),MONTH(A1982),1))</f>
        <v/>
      </c>
    </row>
    <row r="1983" customFormat="false" ht="15" hidden="false" customHeight="false" outlineLevel="0" collapsed="false">
      <c r="A1983" s="22"/>
      <c r="B1983" s="23"/>
      <c r="C1983" s="23"/>
      <c r="D1983" s="24"/>
      <c r="E1983" s="23"/>
      <c r="F1983" s="15" t="str">
        <f aca="false">IF(B1983="","",IFERROR(INDEX(Configurações!$B$7:$B$30,MATCH(B1983,Configurações!$A$7:$A$30,0)),"?"))</f>
        <v/>
      </c>
      <c r="G1983" s="25" t="str">
        <f aca="false">IF(A1983="","",A1983-WEEKDAY(A1983,2)+1)</f>
        <v/>
      </c>
      <c r="H1983" s="26" t="str">
        <f aca="false">IF(A1983="","",DATE(YEAR(A1983),MONTH(A1983),1))</f>
        <v/>
      </c>
    </row>
    <row r="1984" customFormat="false" ht="15" hidden="false" customHeight="false" outlineLevel="0" collapsed="false">
      <c r="A1984" s="22"/>
      <c r="B1984" s="23"/>
      <c r="C1984" s="23"/>
      <c r="D1984" s="24"/>
      <c r="E1984" s="23"/>
      <c r="F1984" s="15" t="str">
        <f aca="false">IF(B1984="","",IFERROR(INDEX(Configurações!$B$7:$B$30,MATCH(B1984,Configurações!$A$7:$A$30,0)),"?"))</f>
        <v/>
      </c>
      <c r="G1984" s="25" t="str">
        <f aca="false">IF(A1984="","",A1984-WEEKDAY(A1984,2)+1)</f>
        <v/>
      </c>
      <c r="H1984" s="26" t="str">
        <f aca="false">IF(A1984="","",DATE(YEAR(A1984),MONTH(A1984),1))</f>
        <v/>
      </c>
    </row>
    <row r="1985" customFormat="false" ht="15" hidden="false" customHeight="false" outlineLevel="0" collapsed="false">
      <c r="A1985" s="22"/>
      <c r="B1985" s="23"/>
      <c r="C1985" s="23"/>
      <c r="D1985" s="24"/>
      <c r="E1985" s="23"/>
      <c r="F1985" s="15" t="str">
        <f aca="false">IF(B1985="","",IFERROR(INDEX(Configurações!$B$7:$B$30,MATCH(B1985,Configurações!$A$7:$A$30,0)),"?"))</f>
        <v/>
      </c>
      <c r="G1985" s="25" t="str">
        <f aca="false">IF(A1985="","",A1985-WEEKDAY(A1985,2)+1)</f>
        <v/>
      </c>
      <c r="H1985" s="26" t="str">
        <f aca="false">IF(A1985="","",DATE(YEAR(A1985),MONTH(A1985),1))</f>
        <v/>
      </c>
    </row>
    <row r="1986" customFormat="false" ht="15" hidden="false" customHeight="false" outlineLevel="0" collapsed="false">
      <c r="A1986" s="22"/>
      <c r="B1986" s="23"/>
      <c r="C1986" s="23"/>
      <c r="D1986" s="24"/>
      <c r="E1986" s="23"/>
      <c r="F1986" s="15" t="str">
        <f aca="false">IF(B1986="","",IFERROR(INDEX(Configurações!$B$7:$B$30,MATCH(B1986,Configurações!$A$7:$A$30,0)),"?"))</f>
        <v/>
      </c>
      <c r="G1986" s="25" t="str">
        <f aca="false">IF(A1986="","",A1986-WEEKDAY(A1986,2)+1)</f>
        <v/>
      </c>
      <c r="H1986" s="26" t="str">
        <f aca="false">IF(A1986="","",DATE(YEAR(A1986),MONTH(A1986),1))</f>
        <v/>
      </c>
    </row>
    <row r="1987" customFormat="false" ht="15" hidden="false" customHeight="false" outlineLevel="0" collapsed="false">
      <c r="A1987" s="22"/>
      <c r="B1987" s="23"/>
      <c r="C1987" s="23"/>
      <c r="D1987" s="24"/>
      <c r="E1987" s="23"/>
      <c r="F1987" s="15" t="str">
        <f aca="false">IF(B1987="","",IFERROR(INDEX(Configurações!$B$7:$B$30,MATCH(B1987,Configurações!$A$7:$A$30,0)),"?"))</f>
        <v/>
      </c>
      <c r="G1987" s="25" t="str">
        <f aca="false">IF(A1987="","",A1987-WEEKDAY(A1987,2)+1)</f>
        <v/>
      </c>
      <c r="H1987" s="26" t="str">
        <f aca="false">IF(A1987="","",DATE(YEAR(A1987),MONTH(A1987),1))</f>
        <v/>
      </c>
    </row>
    <row r="1988" customFormat="false" ht="15" hidden="false" customHeight="false" outlineLevel="0" collapsed="false">
      <c r="A1988" s="22"/>
      <c r="B1988" s="23"/>
      <c r="C1988" s="23"/>
      <c r="D1988" s="24"/>
      <c r="E1988" s="23"/>
      <c r="F1988" s="15" t="str">
        <f aca="false">IF(B1988="","",IFERROR(INDEX(Configurações!$B$7:$B$30,MATCH(B1988,Configurações!$A$7:$A$30,0)),"?"))</f>
        <v/>
      </c>
      <c r="G1988" s="25" t="str">
        <f aca="false">IF(A1988="","",A1988-WEEKDAY(A1988,2)+1)</f>
        <v/>
      </c>
      <c r="H1988" s="26" t="str">
        <f aca="false">IF(A1988="","",DATE(YEAR(A1988),MONTH(A1988),1))</f>
        <v/>
      </c>
    </row>
    <row r="1989" customFormat="false" ht="15" hidden="false" customHeight="false" outlineLevel="0" collapsed="false">
      <c r="A1989" s="22"/>
      <c r="B1989" s="23"/>
      <c r="C1989" s="23"/>
      <c r="D1989" s="24"/>
      <c r="E1989" s="23"/>
      <c r="F1989" s="15" t="str">
        <f aca="false">IF(B1989="","",IFERROR(INDEX(Configurações!$B$7:$B$30,MATCH(B1989,Configurações!$A$7:$A$30,0)),"?"))</f>
        <v/>
      </c>
      <c r="G1989" s="25" t="str">
        <f aca="false">IF(A1989="","",A1989-WEEKDAY(A1989,2)+1)</f>
        <v/>
      </c>
      <c r="H1989" s="26" t="str">
        <f aca="false">IF(A1989="","",DATE(YEAR(A1989),MONTH(A1989),1))</f>
        <v/>
      </c>
    </row>
    <row r="1990" customFormat="false" ht="15" hidden="false" customHeight="false" outlineLevel="0" collapsed="false">
      <c r="A1990" s="22"/>
      <c r="B1990" s="23"/>
      <c r="C1990" s="23"/>
      <c r="D1990" s="24"/>
      <c r="E1990" s="23"/>
      <c r="F1990" s="15" t="str">
        <f aca="false">IF(B1990="","",IFERROR(INDEX(Configurações!$B$7:$B$30,MATCH(B1990,Configurações!$A$7:$A$30,0)),"?"))</f>
        <v/>
      </c>
      <c r="G1990" s="25" t="str">
        <f aca="false">IF(A1990="","",A1990-WEEKDAY(A1990,2)+1)</f>
        <v/>
      </c>
      <c r="H1990" s="26" t="str">
        <f aca="false">IF(A1990="","",DATE(YEAR(A1990),MONTH(A1990),1))</f>
        <v/>
      </c>
    </row>
    <row r="1991" customFormat="false" ht="15" hidden="false" customHeight="false" outlineLevel="0" collapsed="false">
      <c r="A1991" s="22"/>
      <c r="B1991" s="23"/>
      <c r="C1991" s="23"/>
      <c r="D1991" s="24"/>
      <c r="E1991" s="23"/>
      <c r="F1991" s="15" t="str">
        <f aca="false">IF(B1991="","",IFERROR(INDEX(Configurações!$B$7:$B$30,MATCH(B1991,Configurações!$A$7:$A$30,0)),"?"))</f>
        <v/>
      </c>
      <c r="G1991" s="25" t="str">
        <f aca="false">IF(A1991="","",A1991-WEEKDAY(A1991,2)+1)</f>
        <v/>
      </c>
      <c r="H1991" s="26" t="str">
        <f aca="false">IF(A1991="","",DATE(YEAR(A1991),MONTH(A1991),1))</f>
        <v/>
      </c>
    </row>
    <row r="1992" customFormat="false" ht="15" hidden="false" customHeight="false" outlineLevel="0" collapsed="false">
      <c r="A1992" s="22"/>
      <c r="B1992" s="23"/>
      <c r="C1992" s="23"/>
      <c r="D1992" s="24"/>
      <c r="E1992" s="23"/>
      <c r="F1992" s="15" t="str">
        <f aca="false">IF(B1992="","",IFERROR(INDEX(Configurações!$B$7:$B$30,MATCH(B1992,Configurações!$A$7:$A$30,0)),"?"))</f>
        <v/>
      </c>
      <c r="G1992" s="25" t="str">
        <f aca="false">IF(A1992="","",A1992-WEEKDAY(A1992,2)+1)</f>
        <v/>
      </c>
      <c r="H1992" s="26" t="str">
        <f aca="false">IF(A1992="","",DATE(YEAR(A1992),MONTH(A1992),1))</f>
        <v/>
      </c>
    </row>
    <row r="1993" customFormat="false" ht="15" hidden="false" customHeight="false" outlineLevel="0" collapsed="false">
      <c r="A1993" s="22"/>
      <c r="B1993" s="23"/>
      <c r="C1993" s="23"/>
      <c r="D1993" s="24"/>
      <c r="E1993" s="23"/>
      <c r="F1993" s="15" t="str">
        <f aca="false">IF(B1993="","",IFERROR(INDEX(Configurações!$B$7:$B$30,MATCH(B1993,Configurações!$A$7:$A$30,0)),"?"))</f>
        <v/>
      </c>
      <c r="G1993" s="25" t="str">
        <f aca="false">IF(A1993="","",A1993-WEEKDAY(A1993,2)+1)</f>
        <v/>
      </c>
      <c r="H1993" s="26" t="str">
        <f aca="false">IF(A1993="","",DATE(YEAR(A1993),MONTH(A1993),1))</f>
        <v/>
      </c>
    </row>
    <row r="1994" customFormat="false" ht="15" hidden="false" customHeight="false" outlineLevel="0" collapsed="false">
      <c r="A1994" s="22"/>
      <c r="B1994" s="23"/>
      <c r="C1994" s="23"/>
      <c r="D1994" s="24"/>
      <c r="E1994" s="23"/>
      <c r="F1994" s="15" t="str">
        <f aca="false">IF(B1994="","",IFERROR(INDEX(Configurações!$B$7:$B$30,MATCH(B1994,Configurações!$A$7:$A$30,0)),"?"))</f>
        <v/>
      </c>
      <c r="G1994" s="25" t="str">
        <f aca="false">IF(A1994="","",A1994-WEEKDAY(A1994,2)+1)</f>
        <v/>
      </c>
      <c r="H1994" s="26" t="str">
        <f aca="false">IF(A1994="","",DATE(YEAR(A1994),MONTH(A1994),1))</f>
        <v/>
      </c>
    </row>
    <row r="1995" customFormat="false" ht="15" hidden="false" customHeight="false" outlineLevel="0" collapsed="false">
      <c r="A1995" s="22"/>
      <c r="B1995" s="23"/>
      <c r="C1995" s="23"/>
      <c r="D1995" s="24"/>
      <c r="E1995" s="23"/>
      <c r="F1995" s="15" t="str">
        <f aca="false">IF(B1995="","",IFERROR(INDEX(Configurações!$B$7:$B$30,MATCH(B1995,Configurações!$A$7:$A$30,0)),"?"))</f>
        <v/>
      </c>
      <c r="G1995" s="25" t="str">
        <f aca="false">IF(A1995="","",A1995-WEEKDAY(A1995,2)+1)</f>
        <v/>
      </c>
      <c r="H1995" s="26" t="str">
        <f aca="false">IF(A1995="","",DATE(YEAR(A1995),MONTH(A1995),1))</f>
        <v/>
      </c>
    </row>
    <row r="1996" customFormat="false" ht="15" hidden="false" customHeight="false" outlineLevel="0" collapsed="false">
      <c r="A1996" s="22"/>
      <c r="B1996" s="23"/>
      <c r="C1996" s="23"/>
      <c r="D1996" s="24"/>
      <c r="E1996" s="23"/>
      <c r="F1996" s="15" t="str">
        <f aca="false">IF(B1996="","",IFERROR(INDEX(Configurações!$B$7:$B$30,MATCH(B1996,Configurações!$A$7:$A$30,0)),"?"))</f>
        <v/>
      </c>
      <c r="G1996" s="25" t="str">
        <f aca="false">IF(A1996="","",A1996-WEEKDAY(A1996,2)+1)</f>
        <v/>
      </c>
      <c r="H1996" s="26" t="str">
        <f aca="false">IF(A1996="","",DATE(YEAR(A1996),MONTH(A1996),1))</f>
        <v/>
      </c>
    </row>
    <row r="1997" customFormat="false" ht="15" hidden="false" customHeight="false" outlineLevel="0" collapsed="false">
      <c r="A1997" s="22"/>
      <c r="B1997" s="23"/>
      <c r="C1997" s="23"/>
      <c r="D1997" s="24"/>
      <c r="E1997" s="23"/>
      <c r="F1997" s="15" t="str">
        <f aca="false">IF(B1997="","",IFERROR(INDEX(Configurações!$B$7:$B$30,MATCH(B1997,Configurações!$A$7:$A$30,0)),"?"))</f>
        <v/>
      </c>
      <c r="G1997" s="25" t="str">
        <f aca="false">IF(A1997="","",A1997-WEEKDAY(A1997,2)+1)</f>
        <v/>
      </c>
      <c r="H1997" s="26" t="str">
        <f aca="false">IF(A1997="","",DATE(YEAR(A1997),MONTH(A1997),1))</f>
        <v/>
      </c>
    </row>
    <row r="1998" customFormat="false" ht="15" hidden="false" customHeight="false" outlineLevel="0" collapsed="false">
      <c r="A1998" s="22"/>
      <c r="B1998" s="23"/>
      <c r="C1998" s="23"/>
      <c r="D1998" s="24"/>
      <c r="E1998" s="23"/>
      <c r="F1998" s="15" t="str">
        <f aca="false">IF(B1998="","",IFERROR(INDEX(Configurações!$B$7:$B$30,MATCH(B1998,Configurações!$A$7:$A$30,0)),"?"))</f>
        <v/>
      </c>
      <c r="G1998" s="25" t="str">
        <f aca="false">IF(A1998="","",A1998-WEEKDAY(A1998,2)+1)</f>
        <v/>
      </c>
      <c r="H1998" s="26" t="str">
        <f aca="false">IF(A1998="","",DATE(YEAR(A1998),MONTH(A1998),1))</f>
        <v/>
      </c>
    </row>
    <row r="1999" customFormat="false" ht="15" hidden="false" customHeight="false" outlineLevel="0" collapsed="false">
      <c r="A1999" s="22"/>
      <c r="B1999" s="23"/>
      <c r="C1999" s="23"/>
      <c r="D1999" s="24"/>
      <c r="E1999" s="23"/>
      <c r="F1999" s="15" t="str">
        <f aca="false">IF(B1999="","",IFERROR(INDEX(Configurações!$B$7:$B$30,MATCH(B1999,Configurações!$A$7:$A$30,0)),"?"))</f>
        <v/>
      </c>
      <c r="G1999" s="25" t="str">
        <f aca="false">IF(A1999="","",A1999-WEEKDAY(A1999,2)+1)</f>
        <v/>
      </c>
      <c r="H1999" s="26" t="str">
        <f aca="false">IF(A1999="","",DATE(YEAR(A1999),MONTH(A1999),1))</f>
        <v/>
      </c>
    </row>
    <row r="2000" customFormat="false" ht="15" hidden="false" customHeight="false" outlineLevel="0" collapsed="false">
      <c r="A2000" s="22"/>
      <c r="B2000" s="23"/>
      <c r="C2000" s="23"/>
      <c r="D2000" s="24"/>
      <c r="E2000" s="23"/>
      <c r="F2000" s="15" t="str">
        <f aca="false">IF(B2000="","",IFERROR(INDEX(Configurações!$B$7:$B$30,MATCH(B2000,Configurações!$A$7:$A$30,0)),"?"))</f>
        <v/>
      </c>
      <c r="G2000" s="25" t="str">
        <f aca="false">IF(A2000="","",A2000-WEEKDAY(A2000,2)+1)</f>
        <v/>
      </c>
      <c r="H2000" s="26" t="str">
        <f aca="false">IF(A2000="","",DATE(YEAR(A2000),MONTH(A2000),1))</f>
        <v/>
      </c>
    </row>
    <row r="2001" customFormat="false" ht="15" hidden="false" customHeight="false" outlineLevel="0" collapsed="false">
      <c r="A2001" s="22"/>
      <c r="B2001" s="23"/>
      <c r="C2001" s="23"/>
      <c r="D2001" s="24"/>
      <c r="E2001" s="23"/>
      <c r="F2001" s="15" t="str">
        <f aca="false">IF(B2001="","",IFERROR(INDEX(Configurações!$B$7:$B$30,MATCH(B2001,Configurações!$A$7:$A$30,0)),"?"))</f>
        <v/>
      </c>
      <c r="G2001" s="25" t="str">
        <f aca="false">IF(A2001="","",A2001-WEEKDAY(A2001,2)+1)</f>
        <v/>
      </c>
      <c r="H2001" s="26" t="str">
        <f aca="false">IF(A2001="","",DATE(YEAR(A2001),MONTH(A2001),1))</f>
        <v/>
      </c>
    </row>
    <row r="2002" customFormat="false" ht="15" hidden="false" customHeight="false" outlineLevel="0" collapsed="false">
      <c r="A2002" s="22"/>
      <c r="B2002" s="23"/>
      <c r="C2002" s="23"/>
      <c r="D2002" s="24"/>
      <c r="E2002" s="23"/>
      <c r="F2002" s="15" t="str">
        <f aca="false">IF(B2002="","",IFERROR(INDEX(Configurações!$B$7:$B$30,MATCH(B2002,Configurações!$A$7:$A$30,0)),"?"))</f>
        <v/>
      </c>
      <c r="G2002" s="25" t="str">
        <f aca="false">IF(A2002="","",A2002-WEEKDAY(A2002,2)+1)</f>
        <v/>
      </c>
      <c r="H2002" s="26" t="str">
        <f aca="false">IF(A2002="","",DATE(YEAR(A2002),MONTH(A2002),1))</f>
        <v/>
      </c>
    </row>
    <row r="2003" customFormat="false" ht="15" hidden="false" customHeight="false" outlineLevel="0" collapsed="false">
      <c r="A2003" s="22"/>
      <c r="B2003" s="23"/>
      <c r="C2003" s="23"/>
      <c r="D2003" s="24"/>
      <c r="E2003" s="23"/>
      <c r="F2003" s="15" t="str">
        <f aca="false">IF(B2003="","",IFERROR(INDEX(Configurações!$B$7:$B$30,MATCH(B2003,Configurações!$A$7:$A$30,0)),"?"))</f>
        <v/>
      </c>
      <c r="G2003" s="25" t="str">
        <f aca="false">IF(A2003="","",A2003-WEEKDAY(A2003,2)+1)</f>
        <v/>
      </c>
      <c r="H2003" s="26" t="str">
        <f aca="false">IF(A2003="","",DATE(YEAR(A2003),MONTH(A2003),1))</f>
        <v/>
      </c>
    </row>
    <row r="2004" customFormat="false" ht="15" hidden="false" customHeight="false" outlineLevel="0" collapsed="false">
      <c r="A2004" s="22"/>
      <c r="B2004" s="23"/>
      <c r="C2004" s="23"/>
      <c r="D2004" s="24"/>
      <c r="E2004" s="23"/>
      <c r="F2004" s="15" t="str">
        <f aca="false">IF(B2004="","",IFERROR(INDEX(Configurações!$B$7:$B$30,MATCH(B2004,Configurações!$A$7:$A$30,0)),"?"))</f>
        <v/>
      </c>
      <c r="G2004" s="25" t="str">
        <f aca="false">IF(A2004="","",A2004-WEEKDAY(A2004,2)+1)</f>
        <v/>
      </c>
      <c r="H2004" s="26" t="str">
        <f aca="false">IF(A2004="","",DATE(YEAR(A2004),MONTH(A2004),1))</f>
        <v/>
      </c>
    </row>
  </sheetData>
  <autoFilter ref="A4:H2004"/>
  <dataValidations count="3">
    <dataValidation allowBlank="true" error="Escolha uma categoria da lista (cadastre novas em Configurações)." errorStyle="stop" errorTitle="Categoria" operator="between" showDropDown="false" showErrorMessage="true" showInputMessage="false" sqref="B5:B2004" type="list">
      <formula1>Configurações!$A$7:$A$30</formula1>
      <formula2>0</formula2>
    </dataValidation>
    <dataValidation allowBlank="true" errorStyle="stop" operator="between" showDropDown="false" showErrorMessage="false" showInputMessage="false" sqref="E5:E2004" type="list">
      <formula1>"Pix,Débito,Crédito,Dinheiro,Boleto,Transferência"</formula1>
      <formula2>0</formula2>
    </dataValidation>
    <dataValidation allowBlank="false" error="Digite uma data (dd/mm/aaaa)." errorStyle="stop" operator="greaterThan" showDropDown="false" showErrorMessage="true" showInputMessage="false" sqref="A5:A2004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17" min="3" style="0" width="13"/>
  </cols>
  <sheetData>
    <row r="1" customFormat="false" ht="19.7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68</v>
      </c>
    </row>
    <row r="4" customFormat="false" ht="23.85" hidden="false" customHeight="false" outlineLevel="0" collapsed="false">
      <c r="A4" s="5" t="s">
        <v>4</v>
      </c>
      <c r="B4" s="5" t="s">
        <v>5</v>
      </c>
      <c r="C4" s="5" t="s">
        <v>69</v>
      </c>
      <c r="D4" s="27" t="n">
        <f aca="false">Configurações!$B$4</f>
        <v>46296</v>
      </c>
      <c r="E4" s="27" t="n">
        <f aca="false">EDATE(D4,1)</f>
        <v>46327</v>
      </c>
      <c r="F4" s="27" t="n">
        <f aca="false">EDATE(E4,1)</f>
        <v>46357</v>
      </c>
      <c r="G4" s="27" t="n">
        <f aca="false">EDATE(F4,1)</f>
        <v>46388</v>
      </c>
      <c r="H4" s="27" t="n">
        <f aca="false">EDATE(G4,1)</f>
        <v>46419</v>
      </c>
      <c r="I4" s="27" t="n">
        <f aca="false">EDATE(H4,1)</f>
        <v>46447</v>
      </c>
      <c r="J4" s="27" t="n">
        <f aca="false">EDATE(I4,1)</f>
        <v>46478</v>
      </c>
      <c r="K4" s="27" t="n">
        <f aca="false">EDATE(J4,1)</f>
        <v>46508</v>
      </c>
      <c r="L4" s="27" t="n">
        <f aca="false">EDATE(K4,1)</f>
        <v>46539</v>
      </c>
      <c r="M4" s="27" t="n">
        <f aca="false">EDATE(L4,1)</f>
        <v>46569</v>
      </c>
      <c r="N4" s="27" t="n">
        <f aca="false">EDATE(M4,1)</f>
        <v>46600</v>
      </c>
      <c r="O4" s="27" t="n">
        <f aca="false">EDATE(N4,1)</f>
        <v>46631</v>
      </c>
      <c r="P4" s="5" t="s">
        <v>70</v>
      </c>
      <c r="Q4" s="5" t="s">
        <v>71</v>
      </c>
    </row>
    <row r="5" customFormat="false" ht="15" hidden="false" customHeight="false" outlineLevel="0" collapsed="false">
      <c r="A5" s="28" t="str">
        <f aca="false">IF(Configurações!A7="","",Configurações!A7)</f>
        <v>Salário</v>
      </c>
      <c r="B5" s="28" t="str">
        <f aca="false">IF(Configurações!B7="","",Configurações!B7)</f>
        <v>Ganho</v>
      </c>
      <c r="C5" s="29" t="n">
        <f aca="false">IF($A5="","",Configurações!C7)</f>
        <v>0</v>
      </c>
      <c r="D5" s="7" t="n">
        <f aca="false">IF($A5="","",SUMIFS(Lançamentos!$D$5:$D$2004,Lançamentos!$B$5:$B$2004,$A5,Lançamentos!$H$5:$H$2004,D$4))</f>
        <v>0</v>
      </c>
      <c r="E5" s="7" t="n">
        <f aca="false">IF($A5="","",SUMIFS(Lançamentos!$D$5:$D$2004,Lançamentos!$B$5:$B$2004,$A5,Lançamentos!$H$5:$H$2004,E$4))</f>
        <v>0</v>
      </c>
      <c r="F5" s="7" t="n">
        <f aca="false">IF($A5="","",SUMIFS(Lançamentos!$D$5:$D$2004,Lançamentos!$B$5:$B$2004,$A5,Lançamentos!$H$5:$H$2004,F$4))</f>
        <v>0</v>
      </c>
      <c r="G5" s="7" t="n">
        <f aca="false">IF($A5="","",SUMIFS(Lançamentos!$D$5:$D$2004,Lançamentos!$B$5:$B$2004,$A5,Lançamentos!$H$5:$H$2004,G$4))</f>
        <v>0</v>
      </c>
      <c r="H5" s="7" t="n">
        <f aca="false">IF($A5="","",SUMIFS(Lançamentos!$D$5:$D$2004,Lançamentos!$B$5:$B$2004,$A5,Lançamentos!$H$5:$H$2004,H$4))</f>
        <v>0</v>
      </c>
      <c r="I5" s="7" t="n">
        <f aca="false">IF($A5="","",SUMIFS(Lançamentos!$D$5:$D$2004,Lançamentos!$B$5:$B$2004,$A5,Lançamentos!$H$5:$H$2004,I$4))</f>
        <v>0</v>
      </c>
      <c r="J5" s="7" t="n">
        <f aca="false">IF($A5="","",SUMIFS(Lançamentos!$D$5:$D$2004,Lançamentos!$B$5:$B$2004,$A5,Lançamentos!$H$5:$H$2004,J$4))</f>
        <v>0</v>
      </c>
      <c r="K5" s="7" t="n">
        <f aca="false">IF($A5="","",SUMIFS(Lançamentos!$D$5:$D$2004,Lançamentos!$B$5:$B$2004,$A5,Lançamentos!$H$5:$H$2004,K$4))</f>
        <v>0</v>
      </c>
      <c r="L5" s="7" t="n">
        <f aca="false">IF($A5="","",SUMIFS(Lançamentos!$D$5:$D$2004,Lançamentos!$B$5:$B$2004,$A5,Lançamentos!$H$5:$H$2004,L$4))</f>
        <v>0</v>
      </c>
      <c r="M5" s="7" t="n">
        <f aca="false">IF($A5="","",SUMIFS(Lançamentos!$D$5:$D$2004,Lançamentos!$B$5:$B$2004,$A5,Lançamentos!$H$5:$H$2004,M$4))</f>
        <v>0</v>
      </c>
      <c r="N5" s="7" t="n">
        <f aca="false">IF($A5="","",SUMIFS(Lançamentos!$D$5:$D$2004,Lançamentos!$B$5:$B$2004,$A5,Lançamentos!$H$5:$H$2004,N$4))</f>
        <v>0</v>
      </c>
      <c r="O5" s="7" t="n">
        <f aca="false">IF($A5="","",SUMIFS(Lançamentos!$D$5:$D$2004,Lançamentos!$B$5:$B$2004,$A5,Lançamentos!$H$5:$H$2004,O$4))</f>
        <v>0</v>
      </c>
      <c r="P5" s="7" t="n">
        <f aca="false">IF($A5="","",SUM(D5:O5))</f>
        <v>0</v>
      </c>
      <c r="Q5" s="7" t="n">
        <f aca="false">IF($A5="","",P5/12)</f>
        <v>0</v>
      </c>
    </row>
    <row r="6" customFormat="false" ht="15" hidden="false" customHeight="false" outlineLevel="0" collapsed="false">
      <c r="A6" s="28" t="str">
        <f aca="false">IF(Configurações!A8="","",Configurações!A8)</f>
        <v>Renda variável</v>
      </c>
      <c r="B6" s="28" t="str">
        <f aca="false">IF(Configurações!B8="","",Configurações!B8)</f>
        <v>Ganho</v>
      </c>
      <c r="C6" s="29" t="n">
        <f aca="false">IF($A6="","",Configurações!C8)</f>
        <v>0</v>
      </c>
      <c r="D6" s="7" t="n">
        <f aca="false">IF($A6="","",SUMIFS(Lançamentos!$D$5:$D$2004,Lançamentos!$B$5:$B$2004,$A6,Lançamentos!$H$5:$H$2004,D$4))</f>
        <v>0</v>
      </c>
      <c r="E6" s="7" t="n">
        <f aca="false">IF($A6="","",SUMIFS(Lançamentos!$D$5:$D$2004,Lançamentos!$B$5:$B$2004,$A6,Lançamentos!$H$5:$H$2004,E$4))</f>
        <v>0</v>
      </c>
      <c r="F6" s="7" t="n">
        <f aca="false">IF($A6="","",SUMIFS(Lançamentos!$D$5:$D$2004,Lançamentos!$B$5:$B$2004,$A6,Lançamentos!$H$5:$H$2004,F$4))</f>
        <v>0</v>
      </c>
      <c r="G6" s="7" t="n">
        <f aca="false">IF($A6="","",SUMIFS(Lançamentos!$D$5:$D$2004,Lançamentos!$B$5:$B$2004,$A6,Lançamentos!$H$5:$H$2004,G$4))</f>
        <v>0</v>
      </c>
      <c r="H6" s="7" t="n">
        <f aca="false">IF($A6="","",SUMIFS(Lançamentos!$D$5:$D$2004,Lançamentos!$B$5:$B$2004,$A6,Lançamentos!$H$5:$H$2004,H$4))</f>
        <v>0</v>
      </c>
      <c r="I6" s="7" t="n">
        <f aca="false">IF($A6="","",SUMIFS(Lançamentos!$D$5:$D$2004,Lançamentos!$B$5:$B$2004,$A6,Lançamentos!$H$5:$H$2004,I$4))</f>
        <v>0</v>
      </c>
      <c r="J6" s="7" t="n">
        <f aca="false">IF($A6="","",SUMIFS(Lançamentos!$D$5:$D$2004,Lançamentos!$B$5:$B$2004,$A6,Lançamentos!$H$5:$H$2004,J$4))</f>
        <v>0</v>
      </c>
      <c r="K6" s="7" t="n">
        <f aca="false">IF($A6="","",SUMIFS(Lançamentos!$D$5:$D$2004,Lançamentos!$B$5:$B$2004,$A6,Lançamentos!$H$5:$H$2004,K$4))</f>
        <v>0</v>
      </c>
      <c r="L6" s="7" t="n">
        <f aca="false">IF($A6="","",SUMIFS(Lançamentos!$D$5:$D$2004,Lançamentos!$B$5:$B$2004,$A6,Lançamentos!$H$5:$H$2004,L$4))</f>
        <v>0</v>
      </c>
      <c r="M6" s="7" t="n">
        <f aca="false">IF($A6="","",SUMIFS(Lançamentos!$D$5:$D$2004,Lançamentos!$B$5:$B$2004,$A6,Lançamentos!$H$5:$H$2004,M$4))</f>
        <v>0</v>
      </c>
      <c r="N6" s="7" t="n">
        <f aca="false">IF($A6="","",SUMIFS(Lançamentos!$D$5:$D$2004,Lançamentos!$B$5:$B$2004,$A6,Lançamentos!$H$5:$H$2004,N$4))</f>
        <v>0</v>
      </c>
      <c r="O6" s="7" t="n">
        <f aca="false">IF($A6="","",SUMIFS(Lançamentos!$D$5:$D$2004,Lançamentos!$B$5:$B$2004,$A6,Lançamentos!$H$5:$H$2004,O$4))</f>
        <v>0</v>
      </c>
      <c r="P6" s="7" t="n">
        <f aca="false">IF($A6="","",SUM(D6:O6))</f>
        <v>0</v>
      </c>
      <c r="Q6" s="7" t="n">
        <f aca="false">IF($A6="","",P6/12)</f>
        <v>0</v>
      </c>
    </row>
    <row r="7" customFormat="false" ht="15" hidden="false" customHeight="false" outlineLevel="0" collapsed="false">
      <c r="A7" s="28" t="str">
        <f aca="false">IF(Configurações!A9="","",Configurações!A9)</f>
        <v>Outros ganhos</v>
      </c>
      <c r="B7" s="28" t="str">
        <f aca="false">IF(Configurações!B9="","",Configurações!B9)</f>
        <v>Ganho</v>
      </c>
      <c r="C7" s="29" t="n">
        <f aca="false">IF($A7="","",Configurações!C9)</f>
        <v>0</v>
      </c>
      <c r="D7" s="7" t="n">
        <f aca="false">IF($A7="","",SUMIFS(Lançamentos!$D$5:$D$2004,Lançamentos!$B$5:$B$2004,$A7,Lançamentos!$H$5:$H$2004,D$4))</f>
        <v>0</v>
      </c>
      <c r="E7" s="7" t="n">
        <f aca="false">IF($A7="","",SUMIFS(Lançamentos!$D$5:$D$2004,Lançamentos!$B$5:$B$2004,$A7,Lançamentos!$H$5:$H$2004,E$4))</f>
        <v>0</v>
      </c>
      <c r="F7" s="7" t="n">
        <f aca="false">IF($A7="","",SUMIFS(Lançamentos!$D$5:$D$2004,Lançamentos!$B$5:$B$2004,$A7,Lançamentos!$H$5:$H$2004,F$4))</f>
        <v>0</v>
      </c>
      <c r="G7" s="7" t="n">
        <f aca="false">IF($A7="","",SUMIFS(Lançamentos!$D$5:$D$2004,Lançamentos!$B$5:$B$2004,$A7,Lançamentos!$H$5:$H$2004,G$4))</f>
        <v>0</v>
      </c>
      <c r="H7" s="7" t="n">
        <f aca="false">IF($A7="","",SUMIFS(Lançamentos!$D$5:$D$2004,Lançamentos!$B$5:$B$2004,$A7,Lançamentos!$H$5:$H$2004,H$4))</f>
        <v>0</v>
      </c>
      <c r="I7" s="7" t="n">
        <f aca="false">IF($A7="","",SUMIFS(Lançamentos!$D$5:$D$2004,Lançamentos!$B$5:$B$2004,$A7,Lançamentos!$H$5:$H$2004,I$4))</f>
        <v>0</v>
      </c>
      <c r="J7" s="7" t="n">
        <f aca="false">IF($A7="","",SUMIFS(Lançamentos!$D$5:$D$2004,Lançamentos!$B$5:$B$2004,$A7,Lançamentos!$H$5:$H$2004,J$4))</f>
        <v>0</v>
      </c>
      <c r="K7" s="7" t="n">
        <f aca="false">IF($A7="","",SUMIFS(Lançamentos!$D$5:$D$2004,Lançamentos!$B$5:$B$2004,$A7,Lançamentos!$H$5:$H$2004,K$4))</f>
        <v>0</v>
      </c>
      <c r="L7" s="7" t="n">
        <f aca="false">IF($A7="","",SUMIFS(Lançamentos!$D$5:$D$2004,Lançamentos!$B$5:$B$2004,$A7,Lançamentos!$H$5:$H$2004,L$4))</f>
        <v>0</v>
      </c>
      <c r="M7" s="7" t="n">
        <f aca="false">IF($A7="","",SUMIFS(Lançamentos!$D$5:$D$2004,Lançamentos!$B$5:$B$2004,$A7,Lançamentos!$H$5:$H$2004,M$4))</f>
        <v>0</v>
      </c>
      <c r="N7" s="7" t="n">
        <f aca="false">IF($A7="","",SUMIFS(Lançamentos!$D$5:$D$2004,Lançamentos!$B$5:$B$2004,$A7,Lançamentos!$H$5:$H$2004,N$4))</f>
        <v>0</v>
      </c>
      <c r="O7" s="7" t="n">
        <f aca="false">IF($A7="","",SUMIFS(Lançamentos!$D$5:$D$2004,Lançamentos!$B$5:$B$2004,$A7,Lançamentos!$H$5:$H$2004,O$4))</f>
        <v>0</v>
      </c>
      <c r="P7" s="7" t="n">
        <f aca="false">IF($A7="","",SUM(D7:O7))</f>
        <v>0</v>
      </c>
      <c r="Q7" s="7" t="n">
        <f aca="false">IF($A7="","",P7/12)</f>
        <v>0</v>
      </c>
    </row>
    <row r="8" customFormat="false" ht="15" hidden="false" customHeight="false" outlineLevel="0" collapsed="false">
      <c r="A8" s="28" t="str">
        <f aca="false">IF(Configurações!A10="","",Configurações!A10)</f>
        <v>Aluguel</v>
      </c>
      <c r="B8" s="28" t="str">
        <f aca="false">IF(Configurações!B10="","",Configurações!B10)</f>
        <v>Gasto</v>
      </c>
      <c r="C8" s="29" t="n">
        <f aca="false">IF($A8="","",Configurações!C10)</f>
        <v>0</v>
      </c>
      <c r="D8" s="7" t="n">
        <f aca="false">IF($A8="","",SUMIFS(Lançamentos!$D$5:$D$2004,Lançamentos!$B$5:$B$2004,$A8,Lançamentos!$H$5:$H$2004,D$4))</f>
        <v>0</v>
      </c>
      <c r="E8" s="7" t="n">
        <f aca="false">IF($A8="","",SUMIFS(Lançamentos!$D$5:$D$2004,Lançamentos!$B$5:$B$2004,$A8,Lançamentos!$H$5:$H$2004,E$4))</f>
        <v>0</v>
      </c>
      <c r="F8" s="7" t="n">
        <f aca="false">IF($A8="","",SUMIFS(Lançamentos!$D$5:$D$2004,Lançamentos!$B$5:$B$2004,$A8,Lançamentos!$H$5:$H$2004,F$4))</f>
        <v>0</v>
      </c>
      <c r="G8" s="7" t="n">
        <f aca="false">IF($A8="","",SUMIFS(Lançamentos!$D$5:$D$2004,Lançamentos!$B$5:$B$2004,$A8,Lançamentos!$H$5:$H$2004,G$4))</f>
        <v>0</v>
      </c>
      <c r="H8" s="7" t="n">
        <f aca="false">IF($A8="","",SUMIFS(Lançamentos!$D$5:$D$2004,Lançamentos!$B$5:$B$2004,$A8,Lançamentos!$H$5:$H$2004,H$4))</f>
        <v>0</v>
      </c>
      <c r="I8" s="7" t="n">
        <f aca="false">IF($A8="","",SUMIFS(Lançamentos!$D$5:$D$2004,Lançamentos!$B$5:$B$2004,$A8,Lançamentos!$H$5:$H$2004,I$4))</f>
        <v>0</v>
      </c>
      <c r="J8" s="7" t="n">
        <f aca="false">IF($A8="","",SUMIFS(Lançamentos!$D$5:$D$2004,Lançamentos!$B$5:$B$2004,$A8,Lançamentos!$H$5:$H$2004,J$4))</f>
        <v>0</v>
      </c>
      <c r="K8" s="7" t="n">
        <f aca="false">IF($A8="","",SUMIFS(Lançamentos!$D$5:$D$2004,Lançamentos!$B$5:$B$2004,$A8,Lançamentos!$H$5:$H$2004,K$4))</f>
        <v>0</v>
      </c>
      <c r="L8" s="7" t="n">
        <f aca="false">IF($A8="","",SUMIFS(Lançamentos!$D$5:$D$2004,Lançamentos!$B$5:$B$2004,$A8,Lançamentos!$H$5:$H$2004,L$4))</f>
        <v>0</v>
      </c>
      <c r="M8" s="7" t="n">
        <f aca="false">IF($A8="","",SUMIFS(Lançamentos!$D$5:$D$2004,Lançamentos!$B$5:$B$2004,$A8,Lançamentos!$H$5:$H$2004,M$4))</f>
        <v>0</v>
      </c>
      <c r="N8" s="7" t="n">
        <f aca="false">IF($A8="","",SUMIFS(Lançamentos!$D$5:$D$2004,Lançamentos!$B$5:$B$2004,$A8,Lançamentos!$H$5:$H$2004,N$4))</f>
        <v>0</v>
      </c>
      <c r="O8" s="7" t="n">
        <f aca="false">IF($A8="","",SUMIFS(Lançamentos!$D$5:$D$2004,Lançamentos!$B$5:$B$2004,$A8,Lançamentos!$H$5:$H$2004,O$4))</f>
        <v>0</v>
      </c>
      <c r="P8" s="7" t="n">
        <f aca="false">IF($A8="","",SUM(D8:O8))</f>
        <v>0</v>
      </c>
      <c r="Q8" s="7" t="n">
        <f aca="false">IF($A8="","",P8/12)</f>
        <v>0</v>
      </c>
    </row>
    <row r="9" customFormat="false" ht="15" hidden="false" customHeight="false" outlineLevel="0" collapsed="false">
      <c r="A9" s="28" t="str">
        <f aca="false">IF(Configurações!A11="","",Configurações!A11)</f>
        <v>Luz</v>
      </c>
      <c r="B9" s="28" t="str">
        <f aca="false">IF(Configurações!B11="","",Configurações!B11)</f>
        <v>Gasto</v>
      </c>
      <c r="C9" s="29" t="n">
        <f aca="false">IF($A9="","",Configurações!C11)</f>
        <v>0</v>
      </c>
      <c r="D9" s="7" t="n">
        <f aca="false">IF($A9="","",SUMIFS(Lançamentos!$D$5:$D$2004,Lançamentos!$B$5:$B$2004,$A9,Lançamentos!$H$5:$H$2004,D$4))</f>
        <v>0</v>
      </c>
      <c r="E9" s="7" t="n">
        <f aca="false">IF($A9="","",SUMIFS(Lançamentos!$D$5:$D$2004,Lançamentos!$B$5:$B$2004,$A9,Lançamentos!$H$5:$H$2004,E$4))</f>
        <v>0</v>
      </c>
      <c r="F9" s="7" t="n">
        <f aca="false">IF($A9="","",SUMIFS(Lançamentos!$D$5:$D$2004,Lançamentos!$B$5:$B$2004,$A9,Lançamentos!$H$5:$H$2004,F$4))</f>
        <v>0</v>
      </c>
      <c r="G9" s="7" t="n">
        <f aca="false">IF($A9="","",SUMIFS(Lançamentos!$D$5:$D$2004,Lançamentos!$B$5:$B$2004,$A9,Lançamentos!$H$5:$H$2004,G$4))</f>
        <v>0</v>
      </c>
      <c r="H9" s="7" t="n">
        <f aca="false">IF($A9="","",SUMIFS(Lançamentos!$D$5:$D$2004,Lançamentos!$B$5:$B$2004,$A9,Lançamentos!$H$5:$H$2004,H$4))</f>
        <v>0</v>
      </c>
      <c r="I9" s="7" t="n">
        <f aca="false">IF($A9="","",SUMIFS(Lançamentos!$D$5:$D$2004,Lançamentos!$B$5:$B$2004,$A9,Lançamentos!$H$5:$H$2004,I$4))</f>
        <v>0</v>
      </c>
      <c r="J9" s="7" t="n">
        <f aca="false">IF($A9="","",SUMIFS(Lançamentos!$D$5:$D$2004,Lançamentos!$B$5:$B$2004,$A9,Lançamentos!$H$5:$H$2004,J$4))</f>
        <v>0</v>
      </c>
      <c r="K9" s="7" t="n">
        <f aca="false">IF($A9="","",SUMIFS(Lançamentos!$D$5:$D$2004,Lançamentos!$B$5:$B$2004,$A9,Lançamentos!$H$5:$H$2004,K$4))</f>
        <v>0</v>
      </c>
      <c r="L9" s="7" t="n">
        <f aca="false">IF($A9="","",SUMIFS(Lançamentos!$D$5:$D$2004,Lançamentos!$B$5:$B$2004,$A9,Lançamentos!$H$5:$H$2004,L$4))</f>
        <v>0</v>
      </c>
      <c r="M9" s="7" t="n">
        <f aca="false">IF($A9="","",SUMIFS(Lançamentos!$D$5:$D$2004,Lançamentos!$B$5:$B$2004,$A9,Lançamentos!$H$5:$H$2004,M$4))</f>
        <v>0</v>
      </c>
      <c r="N9" s="7" t="n">
        <f aca="false">IF($A9="","",SUMIFS(Lançamentos!$D$5:$D$2004,Lançamentos!$B$5:$B$2004,$A9,Lançamentos!$H$5:$H$2004,N$4))</f>
        <v>0</v>
      </c>
      <c r="O9" s="7" t="n">
        <f aca="false">IF($A9="","",SUMIFS(Lançamentos!$D$5:$D$2004,Lançamentos!$B$5:$B$2004,$A9,Lançamentos!$H$5:$H$2004,O$4))</f>
        <v>0</v>
      </c>
      <c r="P9" s="7" t="n">
        <f aca="false">IF($A9="","",SUM(D9:O9))</f>
        <v>0</v>
      </c>
      <c r="Q9" s="7" t="n">
        <f aca="false">IF($A9="","",P9/12)</f>
        <v>0</v>
      </c>
    </row>
    <row r="10" customFormat="false" ht="15" hidden="false" customHeight="false" outlineLevel="0" collapsed="false">
      <c r="A10" s="28" t="str">
        <f aca="false">IF(Configurações!A12="","",Configurações!A12)</f>
        <v>Água</v>
      </c>
      <c r="B10" s="28" t="str">
        <f aca="false">IF(Configurações!B12="","",Configurações!B12)</f>
        <v>Gasto</v>
      </c>
      <c r="C10" s="29" t="n">
        <f aca="false">IF($A10="","",Configurações!C12)</f>
        <v>0</v>
      </c>
      <c r="D10" s="7" t="n">
        <f aca="false">IF($A10="","",SUMIFS(Lançamentos!$D$5:$D$2004,Lançamentos!$B$5:$B$2004,$A10,Lançamentos!$H$5:$H$2004,D$4))</f>
        <v>0</v>
      </c>
      <c r="E10" s="7" t="n">
        <f aca="false">IF($A10="","",SUMIFS(Lançamentos!$D$5:$D$2004,Lançamentos!$B$5:$B$2004,$A10,Lançamentos!$H$5:$H$2004,E$4))</f>
        <v>0</v>
      </c>
      <c r="F10" s="7" t="n">
        <f aca="false">IF($A10="","",SUMIFS(Lançamentos!$D$5:$D$2004,Lançamentos!$B$5:$B$2004,$A10,Lançamentos!$H$5:$H$2004,F$4))</f>
        <v>0</v>
      </c>
      <c r="G10" s="7" t="n">
        <f aca="false">IF($A10="","",SUMIFS(Lançamentos!$D$5:$D$2004,Lançamentos!$B$5:$B$2004,$A10,Lançamentos!$H$5:$H$2004,G$4))</f>
        <v>0</v>
      </c>
      <c r="H10" s="7" t="n">
        <f aca="false">IF($A10="","",SUMIFS(Lançamentos!$D$5:$D$2004,Lançamentos!$B$5:$B$2004,$A10,Lançamentos!$H$5:$H$2004,H$4))</f>
        <v>0</v>
      </c>
      <c r="I10" s="7" t="n">
        <f aca="false">IF($A10="","",SUMIFS(Lançamentos!$D$5:$D$2004,Lançamentos!$B$5:$B$2004,$A10,Lançamentos!$H$5:$H$2004,I$4))</f>
        <v>0</v>
      </c>
      <c r="J10" s="7" t="n">
        <f aca="false">IF($A10="","",SUMIFS(Lançamentos!$D$5:$D$2004,Lançamentos!$B$5:$B$2004,$A10,Lançamentos!$H$5:$H$2004,J$4))</f>
        <v>0</v>
      </c>
      <c r="K10" s="7" t="n">
        <f aca="false">IF($A10="","",SUMIFS(Lançamentos!$D$5:$D$2004,Lançamentos!$B$5:$B$2004,$A10,Lançamentos!$H$5:$H$2004,K$4))</f>
        <v>0</v>
      </c>
      <c r="L10" s="7" t="n">
        <f aca="false">IF($A10="","",SUMIFS(Lançamentos!$D$5:$D$2004,Lançamentos!$B$5:$B$2004,$A10,Lançamentos!$H$5:$H$2004,L$4))</f>
        <v>0</v>
      </c>
      <c r="M10" s="7" t="n">
        <f aca="false">IF($A10="","",SUMIFS(Lançamentos!$D$5:$D$2004,Lançamentos!$B$5:$B$2004,$A10,Lançamentos!$H$5:$H$2004,M$4))</f>
        <v>0</v>
      </c>
      <c r="N10" s="7" t="n">
        <f aca="false">IF($A10="","",SUMIFS(Lançamentos!$D$5:$D$2004,Lançamentos!$B$5:$B$2004,$A10,Lançamentos!$H$5:$H$2004,N$4))</f>
        <v>0</v>
      </c>
      <c r="O10" s="7" t="n">
        <f aca="false">IF($A10="","",SUMIFS(Lançamentos!$D$5:$D$2004,Lançamentos!$B$5:$B$2004,$A10,Lançamentos!$H$5:$H$2004,O$4))</f>
        <v>0</v>
      </c>
      <c r="P10" s="7" t="n">
        <f aca="false">IF($A10="","",SUM(D10:O10))</f>
        <v>0</v>
      </c>
      <c r="Q10" s="7" t="n">
        <f aca="false">IF($A10="","",P10/12)</f>
        <v>0</v>
      </c>
    </row>
    <row r="11" customFormat="false" ht="15" hidden="false" customHeight="false" outlineLevel="0" collapsed="false">
      <c r="A11" s="28" t="str">
        <f aca="false">IF(Configurações!A13="","",Configurações!A13)</f>
        <v>Compras de casa</v>
      </c>
      <c r="B11" s="28" t="str">
        <f aca="false">IF(Configurações!B13="","",Configurações!B13)</f>
        <v>Gasto</v>
      </c>
      <c r="C11" s="29" t="n">
        <f aca="false">IF($A11="","",Configurações!C13)</f>
        <v>0</v>
      </c>
      <c r="D11" s="7" t="n">
        <f aca="false">IF($A11="","",SUMIFS(Lançamentos!$D$5:$D$2004,Lançamentos!$B$5:$B$2004,$A11,Lançamentos!$H$5:$H$2004,D$4))</f>
        <v>0</v>
      </c>
      <c r="E11" s="7" t="n">
        <f aca="false">IF($A11="","",SUMIFS(Lançamentos!$D$5:$D$2004,Lançamentos!$B$5:$B$2004,$A11,Lançamentos!$H$5:$H$2004,E$4))</f>
        <v>0</v>
      </c>
      <c r="F11" s="7" t="n">
        <f aca="false">IF($A11="","",SUMIFS(Lançamentos!$D$5:$D$2004,Lançamentos!$B$5:$B$2004,$A11,Lançamentos!$H$5:$H$2004,F$4))</f>
        <v>0</v>
      </c>
      <c r="G11" s="7" t="n">
        <f aca="false">IF($A11="","",SUMIFS(Lançamentos!$D$5:$D$2004,Lançamentos!$B$5:$B$2004,$A11,Lançamentos!$H$5:$H$2004,G$4))</f>
        <v>0</v>
      </c>
      <c r="H11" s="7" t="n">
        <f aca="false">IF($A11="","",SUMIFS(Lançamentos!$D$5:$D$2004,Lançamentos!$B$5:$B$2004,$A11,Lançamentos!$H$5:$H$2004,H$4))</f>
        <v>0</v>
      </c>
      <c r="I11" s="7" t="n">
        <f aca="false">IF($A11="","",SUMIFS(Lançamentos!$D$5:$D$2004,Lançamentos!$B$5:$B$2004,$A11,Lançamentos!$H$5:$H$2004,I$4))</f>
        <v>0</v>
      </c>
      <c r="J11" s="7" t="n">
        <f aca="false">IF($A11="","",SUMIFS(Lançamentos!$D$5:$D$2004,Lançamentos!$B$5:$B$2004,$A11,Lançamentos!$H$5:$H$2004,J$4))</f>
        <v>0</v>
      </c>
      <c r="K11" s="7" t="n">
        <f aca="false">IF($A11="","",SUMIFS(Lançamentos!$D$5:$D$2004,Lançamentos!$B$5:$B$2004,$A11,Lançamentos!$H$5:$H$2004,K$4))</f>
        <v>0</v>
      </c>
      <c r="L11" s="7" t="n">
        <f aca="false">IF($A11="","",SUMIFS(Lançamentos!$D$5:$D$2004,Lançamentos!$B$5:$B$2004,$A11,Lançamentos!$H$5:$H$2004,L$4))</f>
        <v>0</v>
      </c>
      <c r="M11" s="7" t="n">
        <f aca="false">IF($A11="","",SUMIFS(Lançamentos!$D$5:$D$2004,Lançamentos!$B$5:$B$2004,$A11,Lançamentos!$H$5:$H$2004,M$4))</f>
        <v>0</v>
      </c>
      <c r="N11" s="7" t="n">
        <f aca="false">IF($A11="","",SUMIFS(Lançamentos!$D$5:$D$2004,Lançamentos!$B$5:$B$2004,$A11,Lançamentos!$H$5:$H$2004,N$4))</f>
        <v>0</v>
      </c>
      <c r="O11" s="7" t="n">
        <f aca="false">IF($A11="","",SUMIFS(Lançamentos!$D$5:$D$2004,Lançamentos!$B$5:$B$2004,$A11,Lançamentos!$H$5:$H$2004,O$4))</f>
        <v>0</v>
      </c>
      <c r="P11" s="7" t="n">
        <f aca="false">IF($A11="","",SUM(D11:O11))</f>
        <v>0</v>
      </c>
      <c r="Q11" s="7" t="n">
        <f aca="false">IF($A11="","",P11/12)</f>
        <v>0</v>
      </c>
    </row>
    <row r="12" customFormat="false" ht="15" hidden="false" customHeight="false" outlineLevel="0" collapsed="false">
      <c r="A12" s="28" t="str">
        <f aca="false">IF(Configurações!A14="","",Configurações!A14)</f>
        <v>Alimentação na rua</v>
      </c>
      <c r="B12" s="28" t="str">
        <f aca="false">IF(Configurações!B14="","",Configurações!B14)</f>
        <v>Gasto</v>
      </c>
      <c r="C12" s="29" t="n">
        <f aca="false">IF($A12="","",Configurações!C14)</f>
        <v>0</v>
      </c>
      <c r="D12" s="7" t="n">
        <f aca="false">IF($A12="","",SUMIFS(Lançamentos!$D$5:$D$2004,Lançamentos!$B$5:$B$2004,$A12,Lançamentos!$H$5:$H$2004,D$4))</f>
        <v>0</v>
      </c>
      <c r="E12" s="7" t="n">
        <f aca="false">IF($A12="","",SUMIFS(Lançamentos!$D$5:$D$2004,Lançamentos!$B$5:$B$2004,$A12,Lançamentos!$H$5:$H$2004,E$4))</f>
        <v>0</v>
      </c>
      <c r="F12" s="7" t="n">
        <f aca="false">IF($A12="","",SUMIFS(Lançamentos!$D$5:$D$2004,Lançamentos!$B$5:$B$2004,$A12,Lançamentos!$H$5:$H$2004,F$4))</f>
        <v>0</v>
      </c>
      <c r="G12" s="7" t="n">
        <f aca="false">IF($A12="","",SUMIFS(Lançamentos!$D$5:$D$2004,Lançamentos!$B$5:$B$2004,$A12,Lançamentos!$H$5:$H$2004,G$4))</f>
        <v>0</v>
      </c>
      <c r="H12" s="7" t="n">
        <f aca="false">IF($A12="","",SUMIFS(Lançamentos!$D$5:$D$2004,Lançamentos!$B$5:$B$2004,$A12,Lançamentos!$H$5:$H$2004,H$4))</f>
        <v>0</v>
      </c>
      <c r="I12" s="7" t="n">
        <f aca="false">IF($A12="","",SUMIFS(Lançamentos!$D$5:$D$2004,Lançamentos!$B$5:$B$2004,$A12,Lançamentos!$H$5:$H$2004,I$4))</f>
        <v>0</v>
      </c>
      <c r="J12" s="7" t="n">
        <f aca="false">IF($A12="","",SUMIFS(Lançamentos!$D$5:$D$2004,Lançamentos!$B$5:$B$2004,$A12,Lançamentos!$H$5:$H$2004,J$4))</f>
        <v>0</v>
      </c>
      <c r="K12" s="7" t="n">
        <f aca="false">IF($A12="","",SUMIFS(Lançamentos!$D$5:$D$2004,Lançamentos!$B$5:$B$2004,$A12,Lançamentos!$H$5:$H$2004,K$4))</f>
        <v>0</v>
      </c>
      <c r="L12" s="7" t="n">
        <f aca="false">IF($A12="","",SUMIFS(Lançamentos!$D$5:$D$2004,Lançamentos!$B$5:$B$2004,$A12,Lançamentos!$H$5:$H$2004,L$4))</f>
        <v>0</v>
      </c>
      <c r="M12" s="7" t="n">
        <f aca="false">IF($A12="","",SUMIFS(Lançamentos!$D$5:$D$2004,Lançamentos!$B$5:$B$2004,$A12,Lançamentos!$H$5:$H$2004,M$4))</f>
        <v>0</v>
      </c>
      <c r="N12" s="7" t="n">
        <f aca="false">IF($A12="","",SUMIFS(Lançamentos!$D$5:$D$2004,Lançamentos!$B$5:$B$2004,$A12,Lançamentos!$H$5:$H$2004,N$4))</f>
        <v>0</v>
      </c>
      <c r="O12" s="7" t="n">
        <f aca="false">IF($A12="","",SUMIFS(Lançamentos!$D$5:$D$2004,Lançamentos!$B$5:$B$2004,$A12,Lançamentos!$H$5:$H$2004,O$4))</f>
        <v>0</v>
      </c>
      <c r="P12" s="7" t="n">
        <f aca="false">IF($A12="","",SUM(D12:O12))</f>
        <v>0</v>
      </c>
      <c r="Q12" s="7" t="n">
        <f aca="false">IF($A12="","",P12/12)</f>
        <v>0</v>
      </c>
    </row>
    <row r="13" customFormat="false" ht="15" hidden="false" customHeight="false" outlineLevel="0" collapsed="false">
      <c r="A13" s="28" t="str">
        <f aca="false">IF(Configurações!A15="","",Configurações!A15)</f>
        <v>iFood</v>
      </c>
      <c r="B13" s="28" t="str">
        <f aca="false">IF(Configurações!B15="","",Configurações!B15)</f>
        <v>Gasto</v>
      </c>
      <c r="C13" s="29" t="n">
        <f aca="false">IF($A13="","",Configurações!C15)</f>
        <v>0</v>
      </c>
      <c r="D13" s="7" t="n">
        <f aca="false">IF($A13="","",SUMIFS(Lançamentos!$D$5:$D$2004,Lançamentos!$B$5:$B$2004,$A13,Lançamentos!$H$5:$H$2004,D$4))</f>
        <v>62.9</v>
      </c>
      <c r="E13" s="7" t="n">
        <f aca="false">IF($A13="","",SUMIFS(Lançamentos!$D$5:$D$2004,Lançamentos!$B$5:$B$2004,$A13,Lançamentos!$H$5:$H$2004,E$4))</f>
        <v>0</v>
      </c>
      <c r="F13" s="7" t="n">
        <f aca="false">IF($A13="","",SUMIFS(Lançamentos!$D$5:$D$2004,Lançamentos!$B$5:$B$2004,$A13,Lançamentos!$H$5:$H$2004,F$4))</f>
        <v>0</v>
      </c>
      <c r="G13" s="7" t="n">
        <f aca="false">IF($A13="","",SUMIFS(Lançamentos!$D$5:$D$2004,Lançamentos!$B$5:$B$2004,$A13,Lançamentos!$H$5:$H$2004,G$4))</f>
        <v>0</v>
      </c>
      <c r="H13" s="7" t="n">
        <f aca="false">IF($A13="","",SUMIFS(Lançamentos!$D$5:$D$2004,Lançamentos!$B$5:$B$2004,$A13,Lançamentos!$H$5:$H$2004,H$4))</f>
        <v>0</v>
      </c>
      <c r="I13" s="7" t="n">
        <f aca="false">IF($A13="","",SUMIFS(Lançamentos!$D$5:$D$2004,Lançamentos!$B$5:$B$2004,$A13,Lançamentos!$H$5:$H$2004,I$4))</f>
        <v>0</v>
      </c>
      <c r="J13" s="7" t="n">
        <f aca="false">IF($A13="","",SUMIFS(Lançamentos!$D$5:$D$2004,Lançamentos!$B$5:$B$2004,$A13,Lançamentos!$H$5:$H$2004,J$4))</f>
        <v>0</v>
      </c>
      <c r="K13" s="7" t="n">
        <f aca="false">IF($A13="","",SUMIFS(Lançamentos!$D$5:$D$2004,Lançamentos!$B$5:$B$2004,$A13,Lançamentos!$H$5:$H$2004,K$4))</f>
        <v>0</v>
      </c>
      <c r="L13" s="7" t="n">
        <f aca="false">IF($A13="","",SUMIFS(Lançamentos!$D$5:$D$2004,Lançamentos!$B$5:$B$2004,$A13,Lançamentos!$H$5:$H$2004,L$4))</f>
        <v>0</v>
      </c>
      <c r="M13" s="7" t="n">
        <f aca="false">IF($A13="","",SUMIFS(Lançamentos!$D$5:$D$2004,Lançamentos!$B$5:$B$2004,$A13,Lançamentos!$H$5:$H$2004,M$4))</f>
        <v>0</v>
      </c>
      <c r="N13" s="7" t="n">
        <f aca="false">IF($A13="","",SUMIFS(Lançamentos!$D$5:$D$2004,Lançamentos!$B$5:$B$2004,$A13,Lançamentos!$H$5:$H$2004,N$4))</f>
        <v>0</v>
      </c>
      <c r="O13" s="7" t="n">
        <f aca="false">IF($A13="","",SUMIFS(Lançamentos!$D$5:$D$2004,Lançamentos!$B$5:$B$2004,$A13,Lançamentos!$H$5:$H$2004,O$4))</f>
        <v>0</v>
      </c>
      <c r="P13" s="7" t="n">
        <f aca="false">IF($A13="","",SUM(D13:O13))</f>
        <v>62.9</v>
      </c>
      <c r="Q13" s="7" t="n">
        <f aca="false">IF($A13="","",P13/12)</f>
        <v>5.24166666666667</v>
      </c>
    </row>
    <row r="14" customFormat="false" ht="15" hidden="false" customHeight="false" outlineLevel="0" collapsed="false">
      <c r="A14" s="28" t="str">
        <f aca="false">IF(Configurações!A16="","",Configurações!A16)</f>
        <v>Bar</v>
      </c>
      <c r="B14" s="28" t="str">
        <f aca="false">IF(Configurações!B16="","",Configurações!B16)</f>
        <v>Gasto</v>
      </c>
      <c r="C14" s="29" t="n">
        <f aca="false">IF($A14="","",Configurações!C16)</f>
        <v>0</v>
      </c>
      <c r="D14" s="7" t="n">
        <f aca="false">IF($A14="","",SUMIFS(Lançamentos!$D$5:$D$2004,Lançamentos!$B$5:$B$2004,$A14,Lançamentos!$H$5:$H$2004,D$4))</f>
        <v>0</v>
      </c>
      <c r="E14" s="7" t="n">
        <f aca="false">IF($A14="","",SUMIFS(Lançamentos!$D$5:$D$2004,Lançamentos!$B$5:$B$2004,$A14,Lançamentos!$H$5:$H$2004,E$4))</f>
        <v>0</v>
      </c>
      <c r="F14" s="7" t="n">
        <f aca="false">IF($A14="","",SUMIFS(Lançamentos!$D$5:$D$2004,Lançamentos!$B$5:$B$2004,$A14,Lançamentos!$H$5:$H$2004,F$4))</f>
        <v>0</v>
      </c>
      <c r="G14" s="7" t="n">
        <f aca="false">IF($A14="","",SUMIFS(Lançamentos!$D$5:$D$2004,Lançamentos!$B$5:$B$2004,$A14,Lançamentos!$H$5:$H$2004,G$4))</f>
        <v>0</v>
      </c>
      <c r="H14" s="7" t="n">
        <f aca="false">IF($A14="","",SUMIFS(Lançamentos!$D$5:$D$2004,Lançamentos!$B$5:$B$2004,$A14,Lançamentos!$H$5:$H$2004,H$4))</f>
        <v>0</v>
      </c>
      <c r="I14" s="7" t="n">
        <f aca="false">IF($A14="","",SUMIFS(Lançamentos!$D$5:$D$2004,Lançamentos!$B$5:$B$2004,$A14,Lançamentos!$H$5:$H$2004,I$4))</f>
        <v>0</v>
      </c>
      <c r="J14" s="7" t="n">
        <f aca="false">IF($A14="","",SUMIFS(Lançamentos!$D$5:$D$2004,Lançamentos!$B$5:$B$2004,$A14,Lançamentos!$H$5:$H$2004,J$4))</f>
        <v>0</v>
      </c>
      <c r="K14" s="7" t="n">
        <f aca="false">IF($A14="","",SUMIFS(Lançamentos!$D$5:$D$2004,Lançamentos!$B$5:$B$2004,$A14,Lançamentos!$H$5:$H$2004,K$4))</f>
        <v>0</v>
      </c>
      <c r="L14" s="7" t="n">
        <f aca="false">IF($A14="","",SUMIFS(Lançamentos!$D$5:$D$2004,Lançamentos!$B$5:$B$2004,$A14,Lançamentos!$H$5:$H$2004,L$4))</f>
        <v>0</v>
      </c>
      <c r="M14" s="7" t="n">
        <f aca="false">IF($A14="","",SUMIFS(Lançamentos!$D$5:$D$2004,Lançamentos!$B$5:$B$2004,$A14,Lançamentos!$H$5:$H$2004,M$4))</f>
        <v>0</v>
      </c>
      <c r="N14" s="7" t="n">
        <f aca="false">IF($A14="","",SUMIFS(Lançamentos!$D$5:$D$2004,Lançamentos!$B$5:$B$2004,$A14,Lançamentos!$H$5:$H$2004,N$4))</f>
        <v>0</v>
      </c>
      <c r="O14" s="7" t="n">
        <f aca="false">IF($A14="","",SUMIFS(Lançamentos!$D$5:$D$2004,Lançamentos!$B$5:$B$2004,$A14,Lançamentos!$H$5:$H$2004,O$4))</f>
        <v>0</v>
      </c>
      <c r="P14" s="7" t="n">
        <f aca="false">IF($A14="","",SUM(D14:O14))</f>
        <v>0</v>
      </c>
      <c r="Q14" s="7" t="n">
        <f aca="false">IF($A14="","",P14/12)</f>
        <v>0</v>
      </c>
    </row>
    <row r="15" customFormat="false" ht="15" hidden="false" customHeight="false" outlineLevel="0" collapsed="false">
      <c r="A15" s="28" t="str">
        <f aca="false">IF(Configurações!A17="","",Configurações!A17)</f>
        <v>Transporte</v>
      </c>
      <c r="B15" s="28" t="str">
        <f aca="false">IF(Configurações!B17="","",Configurações!B17)</f>
        <v>Gasto</v>
      </c>
      <c r="C15" s="29" t="n">
        <f aca="false">IF($A15="","",Configurações!C17)</f>
        <v>0</v>
      </c>
      <c r="D15" s="7" t="n">
        <f aca="false">IF($A15="","",SUMIFS(Lançamentos!$D$5:$D$2004,Lançamentos!$B$5:$B$2004,$A15,Lançamentos!$H$5:$H$2004,D$4))</f>
        <v>0</v>
      </c>
      <c r="E15" s="7" t="n">
        <f aca="false">IF($A15="","",SUMIFS(Lançamentos!$D$5:$D$2004,Lançamentos!$B$5:$B$2004,$A15,Lançamentos!$H$5:$H$2004,E$4))</f>
        <v>0</v>
      </c>
      <c r="F15" s="7" t="n">
        <f aca="false">IF($A15="","",SUMIFS(Lançamentos!$D$5:$D$2004,Lançamentos!$B$5:$B$2004,$A15,Lançamentos!$H$5:$H$2004,F$4))</f>
        <v>0</v>
      </c>
      <c r="G15" s="7" t="n">
        <f aca="false">IF($A15="","",SUMIFS(Lançamentos!$D$5:$D$2004,Lançamentos!$B$5:$B$2004,$A15,Lançamentos!$H$5:$H$2004,G$4))</f>
        <v>0</v>
      </c>
      <c r="H15" s="7" t="n">
        <f aca="false">IF($A15="","",SUMIFS(Lançamentos!$D$5:$D$2004,Lançamentos!$B$5:$B$2004,$A15,Lançamentos!$H$5:$H$2004,H$4))</f>
        <v>0</v>
      </c>
      <c r="I15" s="7" t="n">
        <f aca="false">IF($A15="","",SUMIFS(Lançamentos!$D$5:$D$2004,Lançamentos!$B$5:$B$2004,$A15,Lançamentos!$H$5:$H$2004,I$4))</f>
        <v>0</v>
      </c>
      <c r="J15" s="7" t="n">
        <f aca="false">IF($A15="","",SUMIFS(Lançamentos!$D$5:$D$2004,Lançamentos!$B$5:$B$2004,$A15,Lançamentos!$H$5:$H$2004,J$4))</f>
        <v>0</v>
      </c>
      <c r="K15" s="7" t="n">
        <f aca="false">IF($A15="","",SUMIFS(Lançamentos!$D$5:$D$2004,Lançamentos!$B$5:$B$2004,$A15,Lançamentos!$H$5:$H$2004,K$4))</f>
        <v>0</v>
      </c>
      <c r="L15" s="7" t="n">
        <f aca="false">IF($A15="","",SUMIFS(Lançamentos!$D$5:$D$2004,Lançamentos!$B$5:$B$2004,$A15,Lançamentos!$H$5:$H$2004,L$4))</f>
        <v>0</v>
      </c>
      <c r="M15" s="7" t="n">
        <f aca="false">IF($A15="","",SUMIFS(Lançamentos!$D$5:$D$2004,Lançamentos!$B$5:$B$2004,$A15,Lançamentos!$H$5:$H$2004,M$4))</f>
        <v>0</v>
      </c>
      <c r="N15" s="7" t="n">
        <f aca="false">IF($A15="","",SUMIFS(Lançamentos!$D$5:$D$2004,Lançamentos!$B$5:$B$2004,$A15,Lançamentos!$H$5:$H$2004,N$4))</f>
        <v>0</v>
      </c>
      <c r="O15" s="7" t="n">
        <f aca="false">IF($A15="","",SUMIFS(Lançamentos!$D$5:$D$2004,Lançamentos!$B$5:$B$2004,$A15,Lançamentos!$H$5:$H$2004,O$4))</f>
        <v>0</v>
      </c>
      <c r="P15" s="7" t="n">
        <f aca="false">IF($A15="","",SUM(D15:O15))</f>
        <v>0</v>
      </c>
      <c r="Q15" s="7" t="n">
        <f aca="false">IF($A15="","",P15/12)</f>
        <v>0</v>
      </c>
    </row>
    <row r="16" customFormat="false" ht="15" hidden="false" customHeight="false" outlineLevel="0" collapsed="false">
      <c r="A16" s="28" t="str">
        <f aca="false">IF(Configurações!A18="","",Configurações!A18)</f>
        <v>Internet/Celular</v>
      </c>
      <c r="B16" s="28" t="str">
        <f aca="false">IF(Configurações!B18="","",Configurações!B18)</f>
        <v>Gasto</v>
      </c>
      <c r="C16" s="29" t="n">
        <f aca="false">IF($A16="","",Configurações!C18)</f>
        <v>0</v>
      </c>
      <c r="D16" s="7" t="n">
        <f aca="false">IF($A16="","",SUMIFS(Lançamentos!$D$5:$D$2004,Lançamentos!$B$5:$B$2004,$A16,Lançamentos!$H$5:$H$2004,D$4))</f>
        <v>0</v>
      </c>
      <c r="E16" s="7" t="n">
        <f aca="false">IF($A16="","",SUMIFS(Lançamentos!$D$5:$D$2004,Lançamentos!$B$5:$B$2004,$A16,Lançamentos!$H$5:$H$2004,E$4))</f>
        <v>0</v>
      </c>
      <c r="F16" s="7" t="n">
        <f aca="false">IF($A16="","",SUMIFS(Lançamentos!$D$5:$D$2004,Lançamentos!$B$5:$B$2004,$A16,Lançamentos!$H$5:$H$2004,F$4))</f>
        <v>0</v>
      </c>
      <c r="G16" s="7" t="n">
        <f aca="false">IF($A16="","",SUMIFS(Lançamentos!$D$5:$D$2004,Lançamentos!$B$5:$B$2004,$A16,Lançamentos!$H$5:$H$2004,G$4))</f>
        <v>0</v>
      </c>
      <c r="H16" s="7" t="n">
        <f aca="false">IF($A16="","",SUMIFS(Lançamentos!$D$5:$D$2004,Lançamentos!$B$5:$B$2004,$A16,Lançamentos!$H$5:$H$2004,H$4))</f>
        <v>0</v>
      </c>
      <c r="I16" s="7" t="n">
        <f aca="false">IF($A16="","",SUMIFS(Lançamentos!$D$5:$D$2004,Lançamentos!$B$5:$B$2004,$A16,Lançamentos!$H$5:$H$2004,I$4))</f>
        <v>0</v>
      </c>
      <c r="J16" s="7" t="n">
        <f aca="false">IF($A16="","",SUMIFS(Lançamentos!$D$5:$D$2004,Lançamentos!$B$5:$B$2004,$A16,Lançamentos!$H$5:$H$2004,J$4))</f>
        <v>0</v>
      </c>
      <c r="K16" s="7" t="n">
        <f aca="false">IF($A16="","",SUMIFS(Lançamentos!$D$5:$D$2004,Lançamentos!$B$5:$B$2004,$A16,Lançamentos!$H$5:$H$2004,K$4))</f>
        <v>0</v>
      </c>
      <c r="L16" s="7" t="n">
        <f aca="false">IF($A16="","",SUMIFS(Lançamentos!$D$5:$D$2004,Lançamentos!$B$5:$B$2004,$A16,Lançamentos!$H$5:$H$2004,L$4))</f>
        <v>0</v>
      </c>
      <c r="M16" s="7" t="n">
        <f aca="false">IF($A16="","",SUMIFS(Lançamentos!$D$5:$D$2004,Lançamentos!$B$5:$B$2004,$A16,Lançamentos!$H$5:$H$2004,M$4))</f>
        <v>0</v>
      </c>
      <c r="N16" s="7" t="n">
        <f aca="false">IF($A16="","",SUMIFS(Lançamentos!$D$5:$D$2004,Lançamentos!$B$5:$B$2004,$A16,Lançamentos!$H$5:$H$2004,N$4))</f>
        <v>0</v>
      </c>
      <c r="O16" s="7" t="n">
        <f aca="false">IF($A16="","",SUMIFS(Lançamentos!$D$5:$D$2004,Lançamentos!$B$5:$B$2004,$A16,Lançamentos!$H$5:$H$2004,O$4))</f>
        <v>0</v>
      </c>
      <c r="P16" s="7" t="n">
        <f aca="false">IF($A16="","",SUM(D16:O16))</f>
        <v>0</v>
      </c>
      <c r="Q16" s="7" t="n">
        <f aca="false">IF($A16="","",P16/12)</f>
        <v>0</v>
      </c>
    </row>
    <row r="17" customFormat="false" ht="15" hidden="false" customHeight="false" outlineLevel="0" collapsed="false">
      <c r="A17" s="28" t="str">
        <f aca="false">IF(Configurações!A19="","",Configurações!A19)</f>
        <v>Assinaturas</v>
      </c>
      <c r="B17" s="28" t="str">
        <f aca="false">IF(Configurações!B19="","",Configurações!B19)</f>
        <v>Gasto</v>
      </c>
      <c r="C17" s="29" t="n">
        <f aca="false">IF($A17="","",Configurações!C19)</f>
        <v>0</v>
      </c>
      <c r="D17" s="7" t="n">
        <f aca="false">IF($A17="","",SUMIFS(Lançamentos!$D$5:$D$2004,Lançamentos!$B$5:$B$2004,$A17,Lançamentos!$H$5:$H$2004,D$4))</f>
        <v>0</v>
      </c>
      <c r="E17" s="7" t="n">
        <f aca="false">IF($A17="","",SUMIFS(Lançamentos!$D$5:$D$2004,Lançamentos!$B$5:$B$2004,$A17,Lançamentos!$H$5:$H$2004,E$4))</f>
        <v>0</v>
      </c>
      <c r="F17" s="7" t="n">
        <f aca="false">IF($A17="","",SUMIFS(Lançamentos!$D$5:$D$2004,Lançamentos!$B$5:$B$2004,$A17,Lançamentos!$H$5:$H$2004,F$4))</f>
        <v>0</v>
      </c>
      <c r="G17" s="7" t="n">
        <f aca="false">IF($A17="","",SUMIFS(Lançamentos!$D$5:$D$2004,Lançamentos!$B$5:$B$2004,$A17,Lançamentos!$H$5:$H$2004,G$4))</f>
        <v>0</v>
      </c>
      <c r="H17" s="7" t="n">
        <f aca="false">IF($A17="","",SUMIFS(Lançamentos!$D$5:$D$2004,Lançamentos!$B$5:$B$2004,$A17,Lançamentos!$H$5:$H$2004,H$4))</f>
        <v>0</v>
      </c>
      <c r="I17" s="7" t="n">
        <f aca="false">IF($A17="","",SUMIFS(Lançamentos!$D$5:$D$2004,Lançamentos!$B$5:$B$2004,$A17,Lançamentos!$H$5:$H$2004,I$4))</f>
        <v>0</v>
      </c>
      <c r="J17" s="7" t="n">
        <f aca="false">IF($A17="","",SUMIFS(Lançamentos!$D$5:$D$2004,Lançamentos!$B$5:$B$2004,$A17,Lançamentos!$H$5:$H$2004,J$4))</f>
        <v>0</v>
      </c>
      <c r="K17" s="7" t="n">
        <f aca="false">IF($A17="","",SUMIFS(Lançamentos!$D$5:$D$2004,Lançamentos!$B$5:$B$2004,$A17,Lançamentos!$H$5:$H$2004,K$4))</f>
        <v>0</v>
      </c>
      <c r="L17" s="7" t="n">
        <f aca="false">IF($A17="","",SUMIFS(Lançamentos!$D$5:$D$2004,Lançamentos!$B$5:$B$2004,$A17,Lançamentos!$H$5:$H$2004,L$4))</f>
        <v>0</v>
      </c>
      <c r="M17" s="7" t="n">
        <f aca="false">IF($A17="","",SUMIFS(Lançamentos!$D$5:$D$2004,Lançamentos!$B$5:$B$2004,$A17,Lançamentos!$H$5:$H$2004,M$4))</f>
        <v>0</v>
      </c>
      <c r="N17" s="7" t="n">
        <f aca="false">IF($A17="","",SUMIFS(Lançamentos!$D$5:$D$2004,Lançamentos!$B$5:$B$2004,$A17,Lançamentos!$H$5:$H$2004,N$4))</f>
        <v>0</v>
      </c>
      <c r="O17" s="7" t="n">
        <f aca="false">IF($A17="","",SUMIFS(Lançamentos!$D$5:$D$2004,Lançamentos!$B$5:$B$2004,$A17,Lançamentos!$H$5:$H$2004,O$4))</f>
        <v>0</v>
      </c>
      <c r="P17" s="7" t="n">
        <f aca="false">IF($A17="","",SUM(D17:O17))</f>
        <v>0</v>
      </c>
      <c r="Q17" s="7" t="n">
        <f aca="false">IF($A17="","",P17/12)</f>
        <v>0</v>
      </c>
    </row>
    <row r="18" customFormat="false" ht="15" hidden="false" customHeight="false" outlineLevel="0" collapsed="false">
      <c r="A18" s="28" t="str">
        <f aca="false">IF(Configurações!A20="","",Configurações!A20)</f>
        <v>Saúde</v>
      </c>
      <c r="B18" s="28" t="str">
        <f aca="false">IF(Configurações!B20="","",Configurações!B20)</f>
        <v>Gasto</v>
      </c>
      <c r="C18" s="29" t="n">
        <f aca="false">IF($A18="","",Configurações!C20)</f>
        <v>0</v>
      </c>
      <c r="D18" s="7" t="n">
        <f aca="false">IF($A18="","",SUMIFS(Lançamentos!$D$5:$D$2004,Lançamentos!$B$5:$B$2004,$A18,Lançamentos!$H$5:$H$2004,D$4))</f>
        <v>0</v>
      </c>
      <c r="E18" s="7" t="n">
        <f aca="false">IF($A18="","",SUMIFS(Lançamentos!$D$5:$D$2004,Lançamentos!$B$5:$B$2004,$A18,Lançamentos!$H$5:$H$2004,E$4))</f>
        <v>0</v>
      </c>
      <c r="F18" s="7" t="n">
        <f aca="false">IF($A18="","",SUMIFS(Lançamentos!$D$5:$D$2004,Lançamentos!$B$5:$B$2004,$A18,Lançamentos!$H$5:$H$2004,F$4))</f>
        <v>0</v>
      </c>
      <c r="G18" s="7" t="n">
        <f aca="false">IF($A18="","",SUMIFS(Lançamentos!$D$5:$D$2004,Lançamentos!$B$5:$B$2004,$A18,Lançamentos!$H$5:$H$2004,G$4))</f>
        <v>0</v>
      </c>
      <c r="H18" s="7" t="n">
        <f aca="false">IF($A18="","",SUMIFS(Lançamentos!$D$5:$D$2004,Lançamentos!$B$5:$B$2004,$A18,Lançamentos!$H$5:$H$2004,H$4))</f>
        <v>0</v>
      </c>
      <c r="I18" s="7" t="n">
        <f aca="false">IF($A18="","",SUMIFS(Lançamentos!$D$5:$D$2004,Lançamentos!$B$5:$B$2004,$A18,Lançamentos!$H$5:$H$2004,I$4))</f>
        <v>0</v>
      </c>
      <c r="J18" s="7" t="n">
        <f aca="false">IF($A18="","",SUMIFS(Lançamentos!$D$5:$D$2004,Lançamentos!$B$5:$B$2004,$A18,Lançamentos!$H$5:$H$2004,J$4))</f>
        <v>0</v>
      </c>
      <c r="K18" s="7" t="n">
        <f aca="false">IF($A18="","",SUMIFS(Lançamentos!$D$5:$D$2004,Lançamentos!$B$5:$B$2004,$A18,Lançamentos!$H$5:$H$2004,K$4))</f>
        <v>0</v>
      </c>
      <c r="L18" s="7" t="n">
        <f aca="false">IF($A18="","",SUMIFS(Lançamentos!$D$5:$D$2004,Lançamentos!$B$5:$B$2004,$A18,Lançamentos!$H$5:$H$2004,L$4))</f>
        <v>0</v>
      </c>
      <c r="M18" s="7" t="n">
        <f aca="false">IF($A18="","",SUMIFS(Lançamentos!$D$5:$D$2004,Lançamentos!$B$5:$B$2004,$A18,Lançamentos!$H$5:$H$2004,M$4))</f>
        <v>0</v>
      </c>
      <c r="N18" s="7" t="n">
        <f aca="false">IF($A18="","",SUMIFS(Lançamentos!$D$5:$D$2004,Lançamentos!$B$5:$B$2004,$A18,Lançamentos!$H$5:$H$2004,N$4))</f>
        <v>0</v>
      </c>
      <c r="O18" s="7" t="n">
        <f aca="false">IF($A18="","",SUMIFS(Lançamentos!$D$5:$D$2004,Lançamentos!$B$5:$B$2004,$A18,Lançamentos!$H$5:$H$2004,O$4))</f>
        <v>0</v>
      </c>
      <c r="P18" s="7" t="n">
        <f aca="false">IF($A18="","",SUM(D18:O18))</f>
        <v>0</v>
      </c>
      <c r="Q18" s="7" t="n">
        <f aca="false">IF($A18="","",P18/12)</f>
        <v>0</v>
      </c>
    </row>
    <row r="19" customFormat="false" ht="15" hidden="false" customHeight="false" outlineLevel="0" collapsed="false">
      <c r="A19" s="28" t="str">
        <f aca="false">IF(Configurações!A21="","",Configurações!A21)</f>
        <v>Lazer</v>
      </c>
      <c r="B19" s="28" t="str">
        <f aca="false">IF(Configurações!B21="","",Configurações!B21)</f>
        <v>Gasto</v>
      </c>
      <c r="C19" s="29" t="n">
        <f aca="false">IF($A19="","",Configurações!C21)</f>
        <v>0</v>
      </c>
      <c r="D19" s="7" t="n">
        <f aca="false">IF($A19="","",SUMIFS(Lançamentos!$D$5:$D$2004,Lançamentos!$B$5:$B$2004,$A19,Lançamentos!$H$5:$H$2004,D$4))</f>
        <v>0</v>
      </c>
      <c r="E19" s="7" t="n">
        <f aca="false">IF($A19="","",SUMIFS(Lançamentos!$D$5:$D$2004,Lançamentos!$B$5:$B$2004,$A19,Lançamentos!$H$5:$H$2004,E$4))</f>
        <v>0</v>
      </c>
      <c r="F19" s="7" t="n">
        <f aca="false">IF($A19="","",SUMIFS(Lançamentos!$D$5:$D$2004,Lançamentos!$B$5:$B$2004,$A19,Lançamentos!$H$5:$H$2004,F$4))</f>
        <v>0</v>
      </c>
      <c r="G19" s="7" t="n">
        <f aca="false">IF($A19="","",SUMIFS(Lançamentos!$D$5:$D$2004,Lançamentos!$B$5:$B$2004,$A19,Lançamentos!$H$5:$H$2004,G$4))</f>
        <v>0</v>
      </c>
      <c r="H19" s="7" t="n">
        <f aca="false">IF($A19="","",SUMIFS(Lançamentos!$D$5:$D$2004,Lançamentos!$B$5:$B$2004,$A19,Lançamentos!$H$5:$H$2004,H$4))</f>
        <v>0</v>
      </c>
      <c r="I19" s="7" t="n">
        <f aca="false">IF($A19="","",SUMIFS(Lançamentos!$D$5:$D$2004,Lançamentos!$B$5:$B$2004,$A19,Lançamentos!$H$5:$H$2004,I$4))</f>
        <v>0</v>
      </c>
      <c r="J19" s="7" t="n">
        <f aca="false">IF($A19="","",SUMIFS(Lançamentos!$D$5:$D$2004,Lançamentos!$B$5:$B$2004,$A19,Lançamentos!$H$5:$H$2004,J$4))</f>
        <v>0</v>
      </c>
      <c r="K19" s="7" t="n">
        <f aca="false">IF($A19="","",SUMIFS(Lançamentos!$D$5:$D$2004,Lançamentos!$B$5:$B$2004,$A19,Lançamentos!$H$5:$H$2004,K$4))</f>
        <v>0</v>
      </c>
      <c r="L19" s="7" t="n">
        <f aca="false">IF($A19="","",SUMIFS(Lançamentos!$D$5:$D$2004,Lançamentos!$B$5:$B$2004,$A19,Lançamentos!$H$5:$H$2004,L$4))</f>
        <v>0</v>
      </c>
      <c r="M19" s="7" t="n">
        <f aca="false">IF($A19="","",SUMIFS(Lançamentos!$D$5:$D$2004,Lançamentos!$B$5:$B$2004,$A19,Lançamentos!$H$5:$H$2004,M$4))</f>
        <v>0</v>
      </c>
      <c r="N19" s="7" t="n">
        <f aca="false">IF($A19="","",SUMIFS(Lançamentos!$D$5:$D$2004,Lançamentos!$B$5:$B$2004,$A19,Lançamentos!$H$5:$H$2004,N$4))</f>
        <v>0</v>
      </c>
      <c r="O19" s="7" t="n">
        <f aca="false">IF($A19="","",SUMIFS(Lançamentos!$D$5:$D$2004,Lançamentos!$B$5:$B$2004,$A19,Lançamentos!$H$5:$H$2004,O$4))</f>
        <v>0</v>
      </c>
      <c r="P19" s="7" t="n">
        <f aca="false">IF($A19="","",SUM(D19:O19))</f>
        <v>0</v>
      </c>
      <c r="Q19" s="7" t="n">
        <f aca="false">IF($A19="","",P19/12)</f>
        <v>0</v>
      </c>
    </row>
    <row r="20" customFormat="false" ht="15" hidden="false" customHeight="false" outlineLevel="0" collapsed="false">
      <c r="A20" s="28" t="str">
        <f aca="false">IF(Configurações!A22="","",Configurações!A22)</f>
        <v>Outros gastos</v>
      </c>
      <c r="B20" s="28" t="str">
        <f aca="false">IF(Configurações!B22="","",Configurações!B22)</f>
        <v>Gasto</v>
      </c>
      <c r="C20" s="29" t="n">
        <f aca="false">IF($A20="","",Configurações!C22)</f>
        <v>0</v>
      </c>
      <c r="D20" s="7" t="n">
        <f aca="false">IF($A20="","",SUMIFS(Lançamentos!$D$5:$D$2004,Lançamentos!$B$5:$B$2004,$A20,Lançamentos!$H$5:$H$2004,D$4))</f>
        <v>0</v>
      </c>
      <c r="E20" s="7" t="n">
        <f aca="false">IF($A20="","",SUMIFS(Lançamentos!$D$5:$D$2004,Lançamentos!$B$5:$B$2004,$A20,Lançamentos!$H$5:$H$2004,E$4))</f>
        <v>0</v>
      </c>
      <c r="F20" s="7" t="n">
        <f aca="false">IF($A20="","",SUMIFS(Lançamentos!$D$5:$D$2004,Lançamentos!$B$5:$B$2004,$A20,Lançamentos!$H$5:$H$2004,F$4))</f>
        <v>0</v>
      </c>
      <c r="G20" s="7" t="n">
        <f aca="false">IF($A20="","",SUMIFS(Lançamentos!$D$5:$D$2004,Lançamentos!$B$5:$B$2004,$A20,Lançamentos!$H$5:$H$2004,G$4))</f>
        <v>0</v>
      </c>
      <c r="H20" s="7" t="n">
        <f aca="false">IF($A20="","",SUMIFS(Lançamentos!$D$5:$D$2004,Lançamentos!$B$5:$B$2004,$A20,Lançamentos!$H$5:$H$2004,H$4))</f>
        <v>0</v>
      </c>
      <c r="I20" s="7" t="n">
        <f aca="false">IF($A20="","",SUMIFS(Lançamentos!$D$5:$D$2004,Lançamentos!$B$5:$B$2004,$A20,Lançamentos!$H$5:$H$2004,I$4))</f>
        <v>0</v>
      </c>
      <c r="J20" s="7" t="n">
        <f aca="false">IF($A20="","",SUMIFS(Lançamentos!$D$5:$D$2004,Lançamentos!$B$5:$B$2004,$A20,Lançamentos!$H$5:$H$2004,J$4))</f>
        <v>0</v>
      </c>
      <c r="K20" s="7" t="n">
        <f aca="false">IF($A20="","",SUMIFS(Lançamentos!$D$5:$D$2004,Lançamentos!$B$5:$B$2004,$A20,Lançamentos!$H$5:$H$2004,K$4))</f>
        <v>0</v>
      </c>
      <c r="L20" s="7" t="n">
        <f aca="false">IF($A20="","",SUMIFS(Lançamentos!$D$5:$D$2004,Lançamentos!$B$5:$B$2004,$A20,Lançamentos!$H$5:$H$2004,L$4))</f>
        <v>0</v>
      </c>
      <c r="M20" s="7" t="n">
        <f aca="false">IF($A20="","",SUMIFS(Lançamentos!$D$5:$D$2004,Lançamentos!$B$5:$B$2004,$A20,Lançamentos!$H$5:$H$2004,M$4))</f>
        <v>0</v>
      </c>
      <c r="N20" s="7" t="n">
        <f aca="false">IF($A20="","",SUMIFS(Lançamentos!$D$5:$D$2004,Lançamentos!$B$5:$B$2004,$A20,Lançamentos!$H$5:$H$2004,N$4))</f>
        <v>0</v>
      </c>
      <c r="O20" s="7" t="n">
        <f aca="false">IF($A20="","",SUMIFS(Lançamentos!$D$5:$D$2004,Lançamentos!$B$5:$B$2004,$A20,Lançamentos!$H$5:$H$2004,O$4))</f>
        <v>0</v>
      </c>
      <c r="P20" s="7" t="n">
        <f aca="false">IF($A20="","",SUM(D20:O20))</f>
        <v>0</v>
      </c>
      <c r="Q20" s="7" t="n">
        <f aca="false">IF($A20="","",P20/12)</f>
        <v>0</v>
      </c>
    </row>
    <row r="21" customFormat="false" ht="15" hidden="false" customHeight="false" outlineLevel="0" collapsed="false">
      <c r="A21" s="28" t="str">
        <f aca="false">IF(Configurações!A23="","",Configurações!A23)</f>
        <v/>
      </c>
      <c r="B21" s="28" t="str">
        <f aca="false">IF(Configurações!B23="","",Configurações!B23)</f>
        <v/>
      </c>
      <c r="C21" s="29" t="str">
        <f aca="false">IF($A21="","",Configurações!C23)</f>
        <v/>
      </c>
      <c r="D21" s="7" t="str">
        <f aca="false">IF($A21="","",SUMIFS(Lançamentos!$D$5:$D$2004,Lançamentos!$B$5:$B$2004,$A21,Lançamentos!$H$5:$H$2004,D$4))</f>
        <v/>
      </c>
      <c r="E21" s="7" t="str">
        <f aca="false">IF($A21="","",SUMIFS(Lançamentos!$D$5:$D$2004,Lançamentos!$B$5:$B$2004,$A21,Lançamentos!$H$5:$H$2004,E$4))</f>
        <v/>
      </c>
      <c r="F21" s="7" t="str">
        <f aca="false">IF($A21="","",SUMIFS(Lançamentos!$D$5:$D$2004,Lançamentos!$B$5:$B$2004,$A21,Lançamentos!$H$5:$H$2004,F$4))</f>
        <v/>
      </c>
      <c r="G21" s="7" t="str">
        <f aca="false">IF($A21="","",SUMIFS(Lançamentos!$D$5:$D$2004,Lançamentos!$B$5:$B$2004,$A21,Lançamentos!$H$5:$H$2004,G$4))</f>
        <v/>
      </c>
      <c r="H21" s="7" t="str">
        <f aca="false">IF($A21="","",SUMIFS(Lançamentos!$D$5:$D$2004,Lançamentos!$B$5:$B$2004,$A21,Lançamentos!$H$5:$H$2004,H$4))</f>
        <v/>
      </c>
      <c r="I21" s="7" t="str">
        <f aca="false">IF($A21="","",SUMIFS(Lançamentos!$D$5:$D$2004,Lançamentos!$B$5:$B$2004,$A21,Lançamentos!$H$5:$H$2004,I$4))</f>
        <v/>
      </c>
      <c r="J21" s="7" t="str">
        <f aca="false">IF($A21="","",SUMIFS(Lançamentos!$D$5:$D$2004,Lançamentos!$B$5:$B$2004,$A21,Lançamentos!$H$5:$H$2004,J$4))</f>
        <v/>
      </c>
      <c r="K21" s="7" t="str">
        <f aca="false">IF($A21="","",SUMIFS(Lançamentos!$D$5:$D$2004,Lançamentos!$B$5:$B$2004,$A21,Lançamentos!$H$5:$H$2004,K$4))</f>
        <v/>
      </c>
      <c r="L21" s="7" t="str">
        <f aca="false">IF($A21="","",SUMIFS(Lançamentos!$D$5:$D$2004,Lançamentos!$B$5:$B$2004,$A21,Lançamentos!$H$5:$H$2004,L$4))</f>
        <v/>
      </c>
      <c r="M21" s="7" t="str">
        <f aca="false">IF($A21="","",SUMIFS(Lançamentos!$D$5:$D$2004,Lançamentos!$B$5:$B$2004,$A21,Lançamentos!$H$5:$H$2004,M$4))</f>
        <v/>
      </c>
      <c r="N21" s="7" t="str">
        <f aca="false">IF($A21="","",SUMIFS(Lançamentos!$D$5:$D$2004,Lançamentos!$B$5:$B$2004,$A21,Lançamentos!$H$5:$H$2004,N$4))</f>
        <v/>
      </c>
      <c r="O21" s="7" t="str">
        <f aca="false">IF($A21="","",SUMIFS(Lançamentos!$D$5:$D$2004,Lançamentos!$B$5:$B$2004,$A21,Lançamentos!$H$5:$H$2004,O$4))</f>
        <v/>
      </c>
      <c r="P21" s="7" t="str">
        <f aca="false">IF($A21="","",SUM(D21:O21))</f>
        <v/>
      </c>
      <c r="Q21" s="7" t="str">
        <f aca="false">IF($A21="","",P21/12)</f>
        <v/>
      </c>
    </row>
    <row r="22" customFormat="false" ht="15" hidden="false" customHeight="false" outlineLevel="0" collapsed="false">
      <c r="A22" s="28" t="str">
        <f aca="false">IF(Configurações!A24="","",Configurações!A24)</f>
        <v/>
      </c>
      <c r="B22" s="28" t="str">
        <f aca="false">IF(Configurações!B24="","",Configurações!B24)</f>
        <v/>
      </c>
      <c r="C22" s="29" t="str">
        <f aca="false">IF($A22="","",Configurações!C24)</f>
        <v/>
      </c>
      <c r="D22" s="7" t="str">
        <f aca="false">IF($A22="","",SUMIFS(Lançamentos!$D$5:$D$2004,Lançamentos!$B$5:$B$2004,$A22,Lançamentos!$H$5:$H$2004,D$4))</f>
        <v/>
      </c>
      <c r="E22" s="7" t="str">
        <f aca="false">IF($A22="","",SUMIFS(Lançamentos!$D$5:$D$2004,Lançamentos!$B$5:$B$2004,$A22,Lançamentos!$H$5:$H$2004,E$4))</f>
        <v/>
      </c>
      <c r="F22" s="7" t="str">
        <f aca="false">IF($A22="","",SUMIFS(Lançamentos!$D$5:$D$2004,Lançamentos!$B$5:$B$2004,$A22,Lançamentos!$H$5:$H$2004,F$4))</f>
        <v/>
      </c>
      <c r="G22" s="7" t="str">
        <f aca="false">IF($A22="","",SUMIFS(Lançamentos!$D$5:$D$2004,Lançamentos!$B$5:$B$2004,$A22,Lançamentos!$H$5:$H$2004,G$4))</f>
        <v/>
      </c>
      <c r="H22" s="7" t="str">
        <f aca="false">IF($A22="","",SUMIFS(Lançamentos!$D$5:$D$2004,Lançamentos!$B$5:$B$2004,$A22,Lançamentos!$H$5:$H$2004,H$4))</f>
        <v/>
      </c>
      <c r="I22" s="7" t="str">
        <f aca="false">IF($A22="","",SUMIFS(Lançamentos!$D$5:$D$2004,Lançamentos!$B$5:$B$2004,$A22,Lançamentos!$H$5:$H$2004,I$4))</f>
        <v/>
      </c>
      <c r="J22" s="7" t="str">
        <f aca="false">IF($A22="","",SUMIFS(Lançamentos!$D$5:$D$2004,Lançamentos!$B$5:$B$2004,$A22,Lançamentos!$H$5:$H$2004,J$4))</f>
        <v/>
      </c>
      <c r="K22" s="7" t="str">
        <f aca="false">IF($A22="","",SUMIFS(Lançamentos!$D$5:$D$2004,Lançamentos!$B$5:$B$2004,$A22,Lançamentos!$H$5:$H$2004,K$4))</f>
        <v/>
      </c>
      <c r="L22" s="7" t="str">
        <f aca="false">IF($A22="","",SUMIFS(Lançamentos!$D$5:$D$2004,Lançamentos!$B$5:$B$2004,$A22,Lançamentos!$H$5:$H$2004,L$4))</f>
        <v/>
      </c>
      <c r="M22" s="7" t="str">
        <f aca="false">IF($A22="","",SUMIFS(Lançamentos!$D$5:$D$2004,Lançamentos!$B$5:$B$2004,$A22,Lançamentos!$H$5:$H$2004,M$4))</f>
        <v/>
      </c>
      <c r="N22" s="7" t="str">
        <f aca="false">IF($A22="","",SUMIFS(Lançamentos!$D$5:$D$2004,Lançamentos!$B$5:$B$2004,$A22,Lançamentos!$H$5:$H$2004,N$4))</f>
        <v/>
      </c>
      <c r="O22" s="7" t="str">
        <f aca="false">IF($A22="","",SUMIFS(Lançamentos!$D$5:$D$2004,Lançamentos!$B$5:$B$2004,$A22,Lançamentos!$H$5:$H$2004,O$4))</f>
        <v/>
      </c>
      <c r="P22" s="7" t="str">
        <f aca="false">IF($A22="","",SUM(D22:O22))</f>
        <v/>
      </c>
      <c r="Q22" s="7" t="str">
        <f aca="false">IF($A22="","",P22/12)</f>
        <v/>
      </c>
    </row>
    <row r="23" customFormat="false" ht="15" hidden="false" customHeight="false" outlineLevel="0" collapsed="false">
      <c r="A23" s="28" t="str">
        <f aca="false">IF(Configurações!A25="","",Configurações!A25)</f>
        <v/>
      </c>
      <c r="B23" s="28" t="str">
        <f aca="false">IF(Configurações!B25="","",Configurações!B25)</f>
        <v/>
      </c>
      <c r="C23" s="29" t="str">
        <f aca="false">IF($A23="","",Configurações!C25)</f>
        <v/>
      </c>
      <c r="D23" s="7" t="str">
        <f aca="false">IF($A23="","",SUMIFS(Lançamentos!$D$5:$D$2004,Lançamentos!$B$5:$B$2004,$A23,Lançamentos!$H$5:$H$2004,D$4))</f>
        <v/>
      </c>
      <c r="E23" s="7" t="str">
        <f aca="false">IF($A23="","",SUMIFS(Lançamentos!$D$5:$D$2004,Lançamentos!$B$5:$B$2004,$A23,Lançamentos!$H$5:$H$2004,E$4))</f>
        <v/>
      </c>
      <c r="F23" s="7" t="str">
        <f aca="false">IF($A23="","",SUMIFS(Lançamentos!$D$5:$D$2004,Lançamentos!$B$5:$B$2004,$A23,Lançamentos!$H$5:$H$2004,F$4))</f>
        <v/>
      </c>
      <c r="G23" s="7" t="str">
        <f aca="false">IF($A23="","",SUMIFS(Lançamentos!$D$5:$D$2004,Lançamentos!$B$5:$B$2004,$A23,Lançamentos!$H$5:$H$2004,G$4))</f>
        <v/>
      </c>
      <c r="H23" s="7" t="str">
        <f aca="false">IF($A23="","",SUMIFS(Lançamentos!$D$5:$D$2004,Lançamentos!$B$5:$B$2004,$A23,Lançamentos!$H$5:$H$2004,H$4))</f>
        <v/>
      </c>
      <c r="I23" s="7" t="str">
        <f aca="false">IF($A23="","",SUMIFS(Lançamentos!$D$5:$D$2004,Lançamentos!$B$5:$B$2004,$A23,Lançamentos!$H$5:$H$2004,I$4))</f>
        <v/>
      </c>
      <c r="J23" s="7" t="str">
        <f aca="false">IF($A23="","",SUMIFS(Lançamentos!$D$5:$D$2004,Lançamentos!$B$5:$B$2004,$A23,Lançamentos!$H$5:$H$2004,J$4))</f>
        <v/>
      </c>
      <c r="K23" s="7" t="str">
        <f aca="false">IF($A23="","",SUMIFS(Lançamentos!$D$5:$D$2004,Lançamentos!$B$5:$B$2004,$A23,Lançamentos!$H$5:$H$2004,K$4))</f>
        <v/>
      </c>
      <c r="L23" s="7" t="str">
        <f aca="false">IF($A23="","",SUMIFS(Lançamentos!$D$5:$D$2004,Lançamentos!$B$5:$B$2004,$A23,Lançamentos!$H$5:$H$2004,L$4))</f>
        <v/>
      </c>
      <c r="M23" s="7" t="str">
        <f aca="false">IF($A23="","",SUMIFS(Lançamentos!$D$5:$D$2004,Lançamentos!$B$5:$B$2004,$A23,Lançamentos!$H$5:$H$2004,M$4))</f>
        <v/>
      </c>
      <c r="N23" s="7" t="str">
        <f aca="false">IF($A23="","",SUMIFS(Lançamentos!$D$5:$D$2004,Lançamentos!$B$5:$B$2004,$A23,Lançamentos!$H$5:$H$2004,N$4))</f>
        <v/>
      </c>
      <c r="O23" s="7" t="str">
        <f aca="false">IF($A23="","",SUMIFS(Lançamentos!$D$5:$D$2004,Lançamentos!$B$5:$B$2004,$A23,Lançamentos!$H$5:$H$2004,O$4))</f>
        <v/>
      </c>
      <c r="P23" s="7" t="str">
        <f aca="false">IF($A23="","",SUM(D23:O23))</f>
        <v/>
      </c>
      <c r="Q23" s="7" t="str">
        <f aca="false">IF($A23="","",P23/12)</f>
        <v/>
      </c>
    </row>
    <row r="24" customFormat="false" ht="15" hidden="false" customHeight="false" outlineLevel="0" collapsed="false">
      <c r="A24" s="28" t="str">
        <f aca="false">IF(Configurações!A26="","",Configurações!A26)</f>
        <v/>
      </c>
      <c r="B24" s="28" t="str">
        <f aca="false">IF(Configurações!B26="","",Configurações!B26)</f>
        <v/>
      </c>
      <c r="C24" s="29" t="str">
        <f aca="false">IF($A24="","",Configurações!C26)</f>
        <v/>
      </c>
      <c r="D24" s="7" t="str">
        <f aca="false">IF($A24="","",SUMIFS(Lançamentos!$D$5:$D$2004,Lançamentos!$B$5:$B$2004,$A24,Lançamentos!$H$5:$H$2004,D$4))</f>
        <v/>
      </c>
      <c r="E24" s="7" t="str">
        <f aca="false">IF($A24="","",SUMIFS(Lançamentos!$D$5:$D$2004,Lançamentos!$B$5:$B$2004,$A24,Lançamentos!$H$5:$H$2004,E$4))</f>
        <v/>
      </c>
      <c r="F24" s="7" t="str">
        <f aca="false">IF($A24="","",SUMIFS(Lançamentos!$D$5:$D$2004,Lançamentos!$B$5:$B$2004,$A24,Lançamentos!$H$5:$H$2004,F$4))</f>
        <v/>
      </c>
      <c r="G24" s="7" t="str">
        <f aca="false">IF($A24="","",SUMIFS(Lançamentos!$D$5:$D$2004,Lançamentos!$B$5:$B$2004,$A24,Lançamentos!$H$5:$H$2004,G$4))</f>
        <v/>
      </c>
      <c r="H24" s="7" t="str">
        <f aca="false">IF($A24="","",SUMIFS(Lançamentos!$D$5:$D$2004,Lançamentos!$B$5:$B$2004,$A24,Lançamentos!$H$5:$H$2004,H$4))</f>
        <v/>
      </c>
      <c r="I24" s="7" t="str">
        <f aca="false">IF($A24="","",SUMIFS(Lançamentos!$D$5:$D$2004,Lançamentos!$B$5:$B$2004,$A24,Lançamentos!$H$5:$H$2004,I$4))</f>
        <v/>
      </c>
      <c r="J24" s="7" t="str">
        <f aca="false">IF($A24="","",SUMIFS(Lançamentos!$D$5:$D$2004,Lançamentos!$B$5:$B$2004,$A24,Lançamentos!$H$5:$H$2004,J$4))</f>
        <v/>
      </c>
      <c r="K24" s="7" t="str">
        <f aca="false">IF($A24="","",SUMIFS(Lançamentos!$D$5:$D$2004,Lançamentos!$B$5:$B$2004,$A24,Lançamentos!$H$5:$H$2004,K$4))</f>
        <v/>
      </c>
      <c r="L24" s="7" t="str">
        <f aca="false">IF($A24="","",SUMIFS(Lançamentos!$D$5:$D$2004,Lançamentos!$B$5:$B$2004,$A24,Lançamentos!$H$5:$H$2004,L$4))</f>
        <v/>
      </c>
      <c r="M24" s="7" t="str">
        <f aca="false">IF($A24="","",SUMIFS(Lançamentos!$D$5:$D$2004,Lançamentos!$B$5:$B$2004,$A24,Lançamentos!$H$5:$H$2004,M$4))</f>
        <v/>
      </c>
      <c r="N24" s="7" t="str">
        <f aca="false">IF($A24="","",SUMIFS(Lançamentos!$D$5:$D$2004,Lançamentos!$B$5:$B$2004,$A24,Lançamentos!$H$5:$H$2004,N$4))</f>
        <v/>
      </c>
      <c r="O24" s="7" t="str">
        <f aca="false">IF($A24="","",SUMIFS(Lançamentos!$D$5:$D$2004,Lançamentos!$B$5:$B$2004,$A24,Lançamentos!$H$5:$H$2004,O$4))</f>
        <v/>
      </c>
      <c r="P24" s="7" t="str">
        <f aca="false">IF($A24="","",SUM(D24:O24))</f>
        <v/>
      </c>
      <c r="Q24" s="7" t="str">
        <f aca="false">IF($A24="","",P24/12)</f>
        <v/>
      </c>
    </row>
    <row r="25" customFormat="false" ht="15" hidden="false" customHeight="false" outlineLevel="0" collapsed="false">
      <c r="A25" s="28" t="str">
        <f aca="false">IF(Configurações!A27="","",Configurações!A27)</f>
        <v/>
      </c>
      <c r="B25" s="28" t="str">
        <f aca="false">IF(Configurações!B27="","",Configurações!B27)</f>
        <v/>
      </c>
      <c r="C25" s="29" t="str">
        <f aca="false">IF($A25="","",Configurações!C27)</f>
        <v/>
      </c>
      <c r="D25" s="7" t="str">
        <f aca="false">IF($A25="","",SUMIFS(Lançamentos!$D$5:$D$2004,Lançamentos!$B$5:$B$2004,$A25,Lançamentos!$H$5:$H$2004,D$4))</f>
        <v/>
      </c>
      <c r="E25" s="7" t="str">
        <f aca="false">IF($A25="","",SUMIFS(Lançamentos!$D$5:$D$2004,Lançamentos!$B$5:$B$2004,$A25,Lançamentos!$H$5:$H$2004,E$4))</f>
        <v/>
      </c>
      <c r="F25" s="7" t="str">
        <f aca="false">IF($A25="","",SUMIFS(Lançamentos!$D$5:$D$2004,Lançamentos!$B$5:$B$2004,$A25,Lançamentos!$H$5:$H$2004,F$4))</f>
        <v/>
      </c>
      <c r="G25" s="7" t="str">
        <f aca="false">IF($A25="","",SUMIFS(Lançamentos!$D$5:$D$2004,Lançamentos!$B$5:$B$2004,$A25,Lançamentos!$H$5:$H$2004,G$4))</f>
        <v/>
      </c>
      <c r="H25" s="7" t="str">
        <f aca="false">IF($A25="","",SUMIFS(Lançamentos!$D$5:$D$2004,Lançamentos!$B$5:$B$2004,$A25,Lançamentos!$H$5:$H$2004,H$4))</f>
        <v/>
      </c>
      <c r="I25" s="7" t="str">
        <f aca="false">IF($A25="","",SUMIFS(Lançamentos!$D$5:$D$2004,Lançamentos!$B$5:$B$2004,$A25,Lançamentos!$H$5:$H$2004,I$4))</f>
        <v/>
      </c>
      <c r="J25" s="7" t="str">
        <f aca="false">IF($A25="","",SUMIFS(Lançamentos!$D$5:$D$2004,Lançamentos!$B$5:$B$2004,$A25,Lançamentos!$H$5:$H$2004,J$4))</f>
        <v/>
      </c>
      <c r="K25" s="7" t="str">
        <f aca="false">IF($A25="","",SUMIFS(Lançamentos!$D$5:$D$2004,Lançamentos!$B$5:$B$2004,$A25,Lançamentos!$H$5:$H$2004,K$4))</f>
        <v/>
      </c>
      <c r="L25" s="7" t="str">
        <f aca="false">IF($A25="","",SUMIFS(Lançamentos!$D$5:$D$2004,Lançamentos!$B$5:$B$2004,$A25,Lançamentos!$H$5:$H$2004,L$4))</f>
        <v/>
      </c>
      <c r="M25" s="7" t="str">
        <f aca="false">IF($A25="","",SUMIFS(Lançamentos!$D$5:$D$2004,Lançamentos!$B$5:$B$2004,$A25,Lançamentos!$H$5:$H$2004,M$4))</f>
        <v/>
      </c>
      <c r="N25" s="7" t="str">
        <f aca="false">IF($A25="","",SUMIFS(Lançamentos!$D$5:$D$2004,Lançamentos!$B$5:$B$2004,$A25,Lançamentos!$H$5:$H$2004,N$4))</f>
        <v/>
      </c>
      <c r="O25" s="7" t="str">
        <f aca="false">IF($A25="","",SUMIFS(Lançamentos!$D$5:$D$2004,Lançamentos!$B$5:$B$2004,$A25,Lançamentos!$H$5:$H$2004,O$4))</f>
        <v/>
      </c>
      <c r="P25" s="7" t="str">
        <f aca="false">IF($A25="","",SUM(D25:O25))</f>
        <v/>
      </c>
      <c r="Q25" s="7" t="str">
        <f aca="false">IF($A25="","",P25/12)</f>
        <v/>
      </c>
    </row>
    <row r="26" customFormat="false" ht="15" hidden="false" customHeight="false" outlineLevel="0" collapsed="false">
      <c r="A26" s="28" t="str">
        <f aca="false">IF(Configurações!A28="","",Configurações!A28)</f>
        <v/>
      </c>
      <c r="B26" s="28" t="str">
        <f aca="false">IF(Configurações!B28="","",Configurações!B28)</f>
        <v/>
      </c>
      <c r="C26" s="29" t="str">
        <f aca="false">IF($A26="","",Configurações!C28)</f>
        <v/>
      </c>
      <c r="D26" s="7" t="str">
        <f aca="false">IF($A26="","",SUMIFS(Lançamentos!$D$5:$D$2004,Lançamentos!$B$5:$B$2004,$A26,Lançamentos!$H$5:$H$2004,D$4))</f>
        <v/>
      </c>
      <c r="E26" s="7" t="str">
        <f aca="false">IF($A26="","",SUMIFS(Lançamentos!$D$5:$D$2004,Lançamentos!$B$5:$B$2004,$A26,Lançamentos!$H$5:$H$2004,E$4))</f>
        <v/>
      </c>
      <c r="F26" s="7" t="str">
        <f aca="false">IF($A26="","",SUMIFS(Lançamentos!$D$5:$D$2004,Lançamentos!$B$5:$B$2004,$A26,Lançamentos!$H$5:$H$2004,F$4))</f>
        <v/>
      </c>
      <c r="G26" s="7" t="str">
        <f aca="false">IF($A26="","",SUMIFS(Lançamentos!$D$5:$D$2004,Lançamentos!$B$5:$B$2004,$A26,Lançamentos!$H$5:$H$2004,G$4))</f>
        <v/>
      </c>
      <c r="H26" s="7" t="str">
        <f aca="false">IF($A26="","",SUMIFS(Lançamentos!$D$5:$D$2004,Lançamentos!$B$5:$B$2004,$A26,Lançamentos!$H$5:$H$2004,H$4))</f>
        <v/>
      </c>
      <c r="I26" s="7" t="str">
        <f aca="false">IF($A26="","",SUMIFS(Lançamentos!$D$5:$D$2004,Lançamentos!$B$5:$B$2004,$A26,Lançamentos!$H$5:$H$2004,I$4))</f>
        <v/>
      </c>
      <c r="J26" s="7" t="str">
        <f aca="false">IF($A26="","",SUMIFS(Lançamentos!$D$5:$D$2004,Lançamentos!$B$5:$B$2004,$A26,Lançamentos!$H$5:$H$2004,J$4))</f>
        <v/>
      </c>
      <c r="K26" s="7" t="str">
        <f aca="false">IF($A26="","",SUMIFS(Lançamentos!$D$5:$D$2004,Lançamentos!$B$5:$B$2004,$A26,Lançamentos!$H$5:$H$2004,K$4))</f>
        <v/>
      </c>
      <c r="L26" s="7" t="str">
        <f aca="false">IF($A26="","",SUMIFS(Lançamentos!$D$5:$D$2004,Lançamentos!$B$5:$B$2004,$A26,Lançamentos!$H$5:$H$2004,L$4))</f>
        <v/>
      </c>
      <c r="M26" s="7" t="str">
        <f aca="false">IF($A26="","",SUMIFS(Lançamentos!$D$5:$D$2004,Lançamentos!$B$5:$B$2004,$A26,Lançamentos!$H$5:$H$2004,M$4))</f>
        <v/>
      </c>
      <c r="N26" s="7" t="str">
        <f aca="false">IF($A26="","",SUMIFS(Lançamentos!$D$5:$D$2004,Lançamentos!$B$5:$B$2004,$A26,Lançamentos!$H$5:$H$2004,N$4))</f>
        <v/>
      </c>
      <c r="O26" s="7" t="str">
        <f aca="false">IF($A26="","",SUMIFS(Lançamentos!$D$5:$D$2004,Lançamentos!$B$5:$B$2004,$A26,Lançamentos!$H$5:$H$2004,O$4))</f>
        <v/>
      </c>
      <c r="P26" s="7" t="str">
        <f aca="false">IF($A26="","",SUM(D26:O26))</f>
        <v/>
      </c>
      <c r="Q26" s="7" t="str">
        <f aca="false">IF($A26="","",P26/12)</f>
        <v/>
      </c>
    </row>
    <row r="27" customFormat="false" ht="15" hidden="false" customHeight="false" outlineLevel="0" collapsed="false">
      <c r="A27" s="28" t="str">
        <f aca="false">IF(Configurações!A29="","",Configurações!A29)</f>
        <v/>
      </c>
      <c r="B27" s="28" t="str">
        <f aca="false">IF(Configurações!B29="","",Configurações!B29)</f>
        <v/>
      </c>
      <c r="C27" s="29" t="str">
        <f aca="false">IF($A27="","",Configurações!C29)</f>
        <v/>
      </c>
      <c r="D27" s="7" t="str">
        <f aca="false">IF($A27="","",SUMIFS(Lançamentos!$D$5:$D$2004,Lançamentos!$B$5:$B$2004,$A27,Lançamentos!$H$5:$H$2004,D$4))</f>
        <v/>
      </c>
      <c r="E27" s="7" t="str">
        <f aca="false">IF($A27="","",SUMIFS(Lançamentos!$D$5:$D$2004,Lançamentos!$B$5:$B$2004,$A27,Lançamentos!$H$5:$H$2004,E$4))</f>
        <v/>
      </c>
      <c r="F27" s="7" t="str">
        <f aca="false">IF($A27="","",SUMIFS(Lançamentos!$D$5:$D$2004,Lançamentos!$B$5:$B$2004,$A27,Lançamentos!$H$5:$H$2004,F$4))</f>
        <v/>
      </c>
      <c r="G27" s="7" t="str">
        <f aca="false">IF($A27="","",SUMIFS(Lançamentos!$D$5:$D$2004,Lançamentos!$B$5:$B$2004,$A27,Lançamentos!$H$5:$H$2004,G$4))</f>
        <v/>
      </c>
      <c r="H27" s="7" t="str">
        <f aca="false">IF($A27="","",SUMIFS(Lançamentos!$D$5:$D$2004,Lançamentos!$B$5:$B$2004,$A27,Lançamentos!$H$5:$H$2004,H$4))</f>
        <v/>
      </c>
      <c r="I27" s="7" t="str">
        <f aca="false">IF($A27="","",SUMIFS(Lançamentos!$D$5:$D$2004,Lançamentos!$B$5:$B$2004,$A27,Lançamentos!$H$5:$H$2004,I$4))</f>
        <v/>
      </c>
      <c r="J27" s="7" t="str">
        <f aca="false">IF($A27="","",SUMIFS(Lançamentos!$D$5:$D$2004,Lançamentos!$B$5:$B$2004,$A27,Lançamentos!$H$5:$H$2004,J$4))</f>
        <v/>
      </c>
      <c r="K27" s="7" t="str">
        <f aca="false">IF($A27="","",SUMIFS(Lançamentos!$D$5:$D$2004,Lançamentos!$B$5:$B$2004,$A27,Lançamentos!$H$5:$H$2004,K$4))</f>
        <v/>
      </c>
      <c r="L27" s="7" t="str">
        <f aca="false">IF($A27="","",SUMIFS(Lançamentos!$D$5:$D$2004,Lançamentos!$B$5:$B$2004,$A27,Lançamentos!$H$5:$H$2004,L$4))</f>
        <v/>
      </c>
      <c r="M27" s="7" t="str">
        <f aca="false">IF($A27="","",SUMIFS(Lançamentos!$D$5:$D$2004,Lançamentos!$B$5:$B$2004,$A27,Lançamentos!$H$5:$H$2004,M$4))</f>
        <v/>
      </c>
      <c r="N27" s="7" t="str">
        <f aca="false">IF($A27="","",SUMIFS(Lançamentos!$D$5:$D$2004,Lançamentos!$B$5:$B$2004,$A27,Lançamentos!$H$5:$H$2004,N$4))</f>
        <v/>
      </c>
      <c r="O27" s="7" t="str">
        <f aca="false">IF($A27="","",SUMIFS(Lançamentos!$D$5:$D$2004,Lançamentos!$B$5:$B$2004,$A27,Lançamentos!$H$5:$H$2004,O$4))</f>
        <v/>
      </c>
      <c r="P27" s="7" t="str">
        <f aca="false">IF($A27="","",SUM(D27:O27))</f>
        <v/>
      </c>
      <c r="Q27" s="7" t="str">
        <f aca="false">IF($A27="","",P27/12)</f>
        <v/>
      </c>
    </row>
    <row r="28" customFormat="false" ht="15" hidden="false" customHeight="false" outlineLevel="0" collapsed="false">
      <c r="A28" s="28" t="str">
        <f aca="false">IF(Configurações!A30="","",Configurações!A30)</f>
        <v/>
      </c>
      <c r="B28" s="28" t="str">
        <f aca="false">IF(Configurações!B30="","",Configurações!B30)</f>
        <v/>
      </c>
      <c r="C28" s="29" t="str">
        <f aca="false">IF($A28="","",Configurações!C30)</f>
        <v/>
      </c>
      <c r="D28" s="7" t="str">
        <f aca="false">IF($A28="","",SUMIFS(Lançamentos!$D$5:$D$2004,Lançamentos!$B$5:$B$2004,$A28,Lançamentos!$H$5:$H$2004,D$4))</f>
        <v/>
      </c>
      <c r="E28" s="7" t="str">
        <f aca="false">IF($A28="","",SUMIFS(Lançamentos!$D$5:$D$2004,Lançamentos!$B$5:$B$2004,$A28,Lançamentos!$H$5:$H$2004,E$4))</f>
        <v/>
      </c>
      <c r="F28" s="7" t="str">
        <f aca="false">IF($A28="","",SUMIFS(Lançamentos!$D$5:$D$2004,Lançamentos!$B$5:$B$2004,$A28,Lançamentos!$H$5:$H$2004,F$4))</f>
        <v/>
      </c>
      <c r="G28" s="7" t="str">
        <f aca="false">IF($A28="","",SUMIFS(Lançamentos!$D$5:$D$2004,Lançamentos!$B$5:$B$2004,$A28,Lançamentos!$H$5:$H$2004,G$4))</f>
        <v/>
      </c>
      <c r="H28" s="7" t="str">
        <f aca="false">IF($A28="","",SUMIFS(Lançamentos!$D$5:$D$2004,Lançamentos!$B$5:$B$2004,$A28,Lançamentos!$H$5:$H$2004,H$4))</f>
        <v/>
      </c>
      <c r="I28" s="7" t="str">
        <f aca="false">IF($A28="","",SUMIFS(Lançamentos!$D$5:$D$2004,Lançamentos!$B$5:$B$2004,$A28,Lançamentos!$H$5:$H$2004,I$4))</f>
        <v/>
      </c>
      <c r="J28" s="7" t="str">
        <f aca="false">IF($A28="","",SUMIFS(Lançamentos!$D$5:$D$2004,Lançamentos!$B$5:$B$2004,$A28,Lançamentos!$H$5:$H$2004,J$4))</f>
        <v/>
      </c>
      <c r="K28" s="7" t="str">
        <f aca="false">IF($A28="","",SUMIFS(Lançamentos!$D$5:$D$2004,Lançamentos!$B$5:$B$2004,$A28,Lançamentos!$H$5:$H$2004,K$4))</f>
        <v/>
      </c>
      <c r="L28" s="7" t="str">
        <f aca="false">IF($A28="","",SUMIFS(Lançamentos!$D$5:$D$2004,Lançamentos!$B$5:$B$2004,$A28,Lançamentos!$H$5:$H$2004,L$4))</f>
        <v/>
      </c>
      <c r="M28" s="7" t="str">
        <f aca="false">IF($A28="","",SUMIFS(Lançamentos!$D$5:$D$2004,Lançamentos!$B$5:$B$2004,$A28,Lançamentos!$H$5:$H$2004,M$4))</f>
        <v/>
      </c>
      <c r="N28" s="7" t="str">
        <f aca="false">IF($A28="","",SUMIFS(Lançamentos!$D$5:$D$2004,Lançamentos!$B$5:$B$2004,$A28,Lançamentos!$H$5:$H$2004,N$4))</f>
        <v/>
      </c>
      <c r="O28" s="7" t="str">
        <f aca="false">IF($A28="","",SUMIFS(Lançamentos!$D$5:$D$2004,Lançamentos!$B$5:$B$2004,$A28,Lançamentos!$H$5:$H$2004,O$4))</f>
        <v/>
      </c>
      <c r="P28" s="7" t="str">
        <f aca="false">IF($A28="","",SUM(D28:O28))</f>
        <v/>
      </c>
      <c r="Q28" s="7" t="str">
        <f aca="false">IF($A28="","",P28/12)</f>
        <v/>
      </c>
    </row>
    <row r="30" customFormat="false" ht="15" hidden="false" customHeight="false" outlineLevel="0" collapsed="false">
      <c r="A30" s="30" t="s">
        <v>72</v>
      </c>
      <c r="B30" s="30"/>
      <c r="C30" s="9" t="n">
        <f aca="false">SUMIFS(C$5:C$28,$B$5:$B$28,"Ganho")</f>
        <v>0</v>
      </c>
      <c r="D30" s="9" t="n">
        <f aca="false">SUMIFS(D$5:D$28,$B$5:$B$28,"Ganho")</f>
        <v>0</v>
      </c>
      <c r="E30" s="9" t="n">
        <f aca="false">SUMIFS(E$5:E$28,$B$5:$B$28,"Ganho")</f>
        <v>0</v>
      </c>
      <c r="F30" s="9" t="n">
        <f aca="false">SUMIFS(F$5:F$28,$B$5:$B$28,"Ganho")</f>
        <v>0</v>
      </c>
      <c r="G30" s="9" t="n">
        <f aca="false">SUMIFS(G$5:G$28,$B$5:$B$28,"Ganho")</f>
        <v>0</v>
      </c>
      <c r="H30" s="9" t="n">
        <f aca="false">SUMIFS(H$5:H$28,$B$5:$B$28,"Ganho")</f>
        <v>0</v>
      </c>
      <c r="I30" s="9" t="n">
        <f aca="false">SUMIFS(I$5:I$28,$B$5:$B$28,"Ganho")</f>
        <v>0</v>
      </c>
      <c r="J30" s="9" t="n">
        <f aca="false">SUMIFS(J$5:J$28,$B$5:$B$28,"Ganho")</f>
        <v>0</v>
      </c>
      <c r="K30" s="9" t="n">
        <f aca="false">SUMIFS(K$5:K$28,$B$5:$B$28,"Ganho")</f>
        <v>0</v>
      </c>
      <c r="L30" s="9" t="n">
        <f aca="false">SUMIFS(L$5:L$28,$B$5:$B$28,"Ganho")</f>
        <v>0</v>
      </c>
      <c r="M30" s="9" t="n">
        <f aca="false">SUMIFS(M$5:M$28,$B$5:$B$28,"Ganho")</f>
        <v>0</v>
      </c>
      <c r="N30" s="9" t="n">
        <f aca="false">SUMIFS(N$5:N$28,$B$5:$B$28,"Ganho")</f>
        <v>0</v>
      </c>
      <c r="O30" s="9" t="n">
        <f aca="false">SUMIFS(O$5:O$28,$B$5:$B$28,"Ganho")</f>
        <v>0</v>
      </c>
      <c r="P30" s="9" t="n">
        <f aca="false">SUMIFS(P$5:P$28,$B$5:$B$28,"Ganho")</f>
        <v>0</v>
      </c>
      <c r="Q30" s="9" t="n">
        <f aca="false">SUMIFS(Q$5:Q$28,$B$5:$B$28,"Ganho")</f>
        <v>0</v>
      </c>
    </row>
    <row r="31" customFormat="false" ht="15" hidden="false" customHeight="false" outlineLevel="0" collapsed="false">
      <c r="A31" s="31" t="s">
        <v>73</v>
      </c>
      <c r="B31" s="31"/>
      <c r="C31" s="10" t="n">
        <f aca="false">SUMIFS(C$5:C$28,$B$5:$B$28,"Gasto")</f>
        <v>0</v>
      </c>
      <c r="D31" s="10" t="n">
        <f aca="false">SUMIFS(D$5:D$28,$B$5:$B$28,"Gasto")</f>
        <v>62.9</v>
      </c>
      <c r="E31" s="10" t="n">
        <f aca="false">SUMIFS(E$5:E$28,$B$5:$B$28,"Gasto")</f>
        <v>0</v>
      </c>
      <c r="F31" s="10" t="n">
        <f aca="false">SUMIFS(F$5:F$28,$B$5:$B$28,"Gasto")</f>
        <v>0</v>
      </c>
      <c r="G31" s="10" t="n">
        <f aca="false">SUMIFS(G$5:G$28,$B$5:$B$28,"Gasto")</f>
        <v>0</v>
      </c>
      <c r="H31" s="10" t="n">
        <f aca="false">SUMIFS(H$5:H$28,$B$5:$B$28,"Gasto")</f>
        <v>0</v>
      </c>
      <c r="I31" s="10" t="n">
        <f aca="false">SUMIFS(I$5:I$28,$B$5:$B$28,"Gasto")</f>
        <v>0</v>
      </c>
      <c r="J31" s="10" t="n">
        <f aca="false">SUMIFS(J$5:J$28,$B$5:$B$28,"Gasto")</f>
        <v>0</v>
      </c>
      <c r="K31" s="10" t="n">
        <f aca="false">SUMIFS(K$5:K$28,$B$5:$B$28,"Gasto")</f>
        <v>0</v>
      </c>
      <c r="L31" s="10" t="n">
        <f aca="false">SUMIFS(L$5:L$28,$B$5:$B$28,"Gasto")</f>
        <v>0</v>
      </c>
      <c r="M31" s="10" t="n">
        <f aca="false">SUMIFS(M$5:M$28,$B$5:$B$28,"Gasto")</f>
        <v>0</v>
      </c>
      <c r="N31" s="10" t="n">
        <f aca="false">SUMIFS(N$5:N$28,$B$5:$B$28,"Gasto")</f>
        <v>0</v>
      </c>
      <c r="O31" s="10" t="n">
        <f aca="false">SUMIFS(O$5:O$28,$B$5:$B$28,"Gasto")</f>
        <v>0</v>
      </c>
      <c r="P31" s="10" t="n">
        <f aca="false">SUMIFS(P$5:P$28,$B$5:$B$28,"Gasto")</f>
        <v>62.9</v>
      </c>
      <c r="Q31" s="10" t="n">
        <f aca="false">SUMIFS(Q$5:Q$28,$B$5:$B$28,"Gasto")</f>
        <v>5.24166666666667</v>
      </c>
    </row>
    <row r="32" customFormat="false" ht="15" hidden="false" customHeight="false" outlineLevel="0" collapsed="false">
      <c r="A32" s="32" t="s">
        <v>74</v>
      </c>
      <c r="B32" s="32"/>
      <c r="C32" s="33" t="n">
        <f aca="false">C30-C31</f>
        <v>0</v>
      </c>
      <c r="D32" s="33" t="n">
        <f aca="false">D30-D31</f>
        <v>-62.9</v>
      </c>
      <c r="E32" s="33" t="n">
        <f aca="false">E30-E31</f>
        <v>0</v>
      </c>
      <c r="F32" s="33" t="n">
        <f aca="false">F30-F31</f>
        <v>0</v>
      </c>
      <c r="G32" s="33" t="n">
        <f aca="false">G30-G31</f>
        <v>0</v>
      </c>
      <c r="H32" s="33" t="n">
        <f aca="false">H30-H31</f>
        <v>0</v>
      </c>
      <c r="I32" s="33" t="n">
        <f aca="false">I30-I31</f>
        <v>0</v>
      </c>
      <c r="J32" s="33" t="n">
        <f aca="false">J30-J31</f>
        <v>0</v>
      </c>
      <c r="K32" s="33" t="n">
        <f aca="false">K30-K31</f>
        <v>0</v>
      </c>
      <c r="L32" s="33" t="n">
        <f aca="false">L30-L31</f>
        <v>0</v>
      </c>
      <c r="M32" s="33" t="n">
        <f aca="false">M30-M31</f>
        <v>0</v>
      </c>
      <c r="N32" s="33" t="n">
        <f aca="false">N30-N31</f>
        <v>0</v>
      </c>
      <c r="O32" s="33" t="n">
        <f aca="false">O30-O31</f>
        <v>0</v>
      </c>
      <c r="P32" s="33" t="n">
        <f aca="false">P30-P31</f>
        <v>-62.9</v>
      </c>
      <c r="Q32" s="33" t="n">
        <f aca="false">Q30-Q31</f>
        <v>-5.24166666666667</v>
      </c>
    </row>
    <row r="33" customFormat="false" ht="15" hidden="false" customHeight="false" outlineLevel="0" collapsed="false">
      <c r="A33" s="32" t="s">
        <v>75</v>
      </c>
      <c r="B33" s="32"/>
      <c r="C33" s="33"/>
      <c r="D33" s="33" t="n">
        <f aca="false">D32</f>
        <v>-62.9</v>
      </c>
      <c r="E33" s="33" t="n">
        <f aca="false">D33+E32</f>
        <v>-62.9</v>
      </c>
      <c r="F33" s="33" t="n">
        <f aca="false">E33+F32</f>
        <v>-62.9</v>
      </c>
      <c r="G33" s="33" t="n">
        <f aca="false">F33+G32</f>
        <v>-62.9</v>
      </c>
      <c r="H33" s="33" t="n">
        <f aca="false">G33+H32</f>
        <v>-62.9</v>
      </c>
      <c r="I33" s="33" t="n">
        <f aca="false">H33+I32</f>
        <v>-62.9</v>
      </c>
      <c r="J33" s="33" t="n">
        <f aca="false">I33+J32</f>
        <v>-62.9</v>
      </c>
      <c r="K33" s="33" t="n">
        <f aca="false">J33+K32</f>
        <v>-62.9</v>
      </c>
      <c r="L33" s="33" t="n">
        <f aca="false">K33+L32</f>
        <v>-62.9</v>
      </c>
      <c r="M33" s="33" t="n">
        <f aca="false">L33+M32</f>
        <v>-62.9</v>
      </c>
      <c r="N33" s="33" t="n">
        <f aca="false">M33+N32</f>
        <v>-62.9</v>
      </c>
      <c r="O33" s="33" t="n">
        <f aca="false">N33+O32</f>
        <v>-62.9</v>
      </c>
      <c r="P33" s="33"/>
      <c r="Q33" s="33"/>
    </row>
    <row r="34" customFormat="false" ht="15" hidden="false" customHeight="false" outlineLevel="0" collapsed="false">
      <c r="A34" s="32" t="s">
        <v>76</v>
      </c>
      <c r="B34" s="32"/>
      <c r="C34" s="33"/>
      <c r="D34" s="33" t="n">
        <f aca="false">D32-$C$32</f>
        <v>-62.9</v>
      </c>
      <c r="E34" s="33" t="n">
        <f aca="false">E32-$C$32</f>
        <v>0</v>
      </c>
      <c r="F34" s="33" t="n">
        <f aca="false">F32-$C$32</f>
        <v>0</v>
      </c>
      <c r="G34" s="33" t="n">
        <f aca="false">G32-$C$32</f>
        <v>0</v>
      </c>
      <c r="H34" s="33" t="n">
        <f aca="false">H32-$C$32</f>
        <v>0</v>
      </c>
      <c r="I34" s="33" t="n">
        <f aca="false">I32-$C$32</f>
        <v>0</v>
      </c>
      <c r="J34" s="33" t="n">
        <f aca="false">J32-$C$32</f>
        <v>0</v>
      </c>
      <c r="K34" s="33" t="n">
        <f aca="false">K32-$C$32</f>
        <v>0</v>
      </c>
      <c r="L34" s="33" t="n">
        <f aca="false">L32-$C$32</f>
        <v>0</v>
      </c>
      <c r="M34" s="33" t="n">
        <f aca="false">M32-$C$32</f>
        <v>0</v>
      </c>
      <c r="N34" s="33" t="n">
        <f aca="false">N32-$C$32</f>
        <v>0</v>
      </c>
      <c r="O34" s="33" t="n">
        <f aca="false">O32-$C$32</f>
        <v>0</v>
      </c>
      <c r="P34" s="33"/>
      <c r="Q34" s="33"/>
    </row>
  </sheetData>
  <conditionalFormatting sqref="D32:Q34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8" min="1" style="0" width="13"/>
  </cols>
  <sheetData>
    <row r="1" customFormat="false" ht="19.7" hidden="false" customHeight="false" outlineLevel="0" collapsed="false">
      <c r="A1" s="1" t="s">
        <v>77</v>
      </c>
    </row>
    <row r="2" customFormat="false" ht="15" hidden="false" customHeight="false" outlineLevel="0" collapsed="false">
      <c r="A2" s="2" t="s">
        <v>78</v>
      </c>
    </row>
    <row r="4" customFormat="false" ht="23.85" hidden="false" customHeight="false" outlineLevel="0" collapsed="false">
      <c r="A4" s="5" t="s">
        <v>64</v>
      </c>
      <c r="B4" s="5" t="s">
        <v>79</v>
      </c>
      <c r="C4" s="5" t="s">
        <v>80</v>
      </c>
      <c r="D4" s="5" t="s">
        <v>81</v>
      </c>
      <c r="E4" s="5" t="s">
        <v>82</v>
      </c>
      <c r="F4" s="5" t="str">
        <f aca="false">Configurações!A10</f>
        <v>Aluguel</v>
      </c>
      <c r="G4" s="5" t="str">
        <f aca="false">Configurações!A11</f>
        <v>Luz</v>
      </c>
      <c r="H4" s="5" t="str">
        <f aca="false">Configurações!A12</f>
        <v>Água</v>
      </c>
      <c r="I4" s="5" t="str">
        <f aca="false">Configurações!A13</f>
        <v>Compras de casa</v>
      </c>
      <c r="J4" s="5" t="str">
        <f aca="false">Configurações!A14</f>
        <v>Alimentação na rua</v>
      </c>
      <c r="K4" s="5" t="str">
        <f aca="false">Configurações!A15</f>
        <v>iFood</v>
      </c>
      <c r="L4" s="5" t="str">
        <f aca="false">Configurações!A16</f>
        <v>Bar</v>
      </c>
      <c r="M4" s="5" t="str">
        <f aca="false">Configurações!A17</f>
        <v>Transporte</v>
      </c>
      <c r="N4" s="5" t="str">
        <f aca="false">Configurações!A18</f>
        <v>Internet/Celular</v>
      </c>
      <c r="O4" s="5" t="str">
        <f aca="false">Configurações!A19</f>
        <v>Assinaturas</v>
      </c>
      <c r="P4" s="5" t="str">
        <f aca="false">Configurações!A20</f>
        <v>Saúde</v>
      </c>
      <c r="Q4" s="5" t="str">
        <f aca="false">Configurações!A21</f>
        <v>Lazer</v>
      </c>
      <c r="R4" s="5" t="str">
        <f aca="false">Configurações!A22</f>
        <v>Outros gastos</v>
      </c>
    </row>
    <row r="5" customFormat="false" ht="15" hidden="false" customHeight="false" outlineLevel="0" collapsed="false">
      <c r="A5" s="34" t="n">
        <f aca="false">Configurações!$B$4-WEEKDAY(Configurações!$B$4,2)+1</f>
        <v>46293</v>
      </c>
      <c r="B5" s="34" t="n">
        <f aca="false">A5+6</f>
        <v>46299</v>
      </c>
      <c r="C5" s="7" t="n">
        <f aca="false">SUMIFS(Lançamentos!$D$5:$D$2004,Lançamentos!$F$5:$F$2004,"Ganho",Lançamentos!$G$5:$G$2004,$A5)</f>
        <v>0</v>
      </c>
      <c r="D5" s="7" t="n">
        <f aca="false">SUMIFS(Lançamentos!$D$5:$D$2004,Lançamentos!$F$5:$F$2004,"Gasto",Lançamentos!$G$5:$G$2004,$A5)</f>
        <v>0</v>
      </c>
      <c r="E5" s="35" t="n">
        <f aca="false">C5-D5</f>
        <v>0</v>
      </c>
      <c r="F5" s="7" t="n">
        <f aca="false">SUMIFS(Lançamentos!$D$5:$D$2004,Lançamentos!$B$5:$B$2004,F$4,Lançamentos!$G$5:$G$2004,$A5)</f>
        <v>0</v>
      </c>
      <c r="G5" s="7" t="n">
        <f aca="false">SUMIFS(Lançamentos!$D$5:$D$2004,Lançamentos!$B$5:$B$2004,G$4,Lançamentos!$G$5:$G$2004,$A5)</f>
        <v>0</v>
      </c>
      <c r="H5" s="7" t="n">
        <f aca="false">SUMIFS(Lançamentos!$D$5:$D$2004,Lançamentos!$B$5:$B$2004,H$4,Lançamentos!$G$5:$G$2004,$A5)</f>
        <v>0</v>
      </c>
      <c r="I5" s="7" t="n">
        <f aca="false">SUMIFS(Lançamentos!$D$5:$D$2004,Lançamentos!$B$5:$B$2004,I$4,Lançamentos!$G$5:$G$2004,$A5)</f>
        <v>0</v>
      </c>
      <c r="J5" s="7" t="n">
        <f aca="false">SUMIFS(Lançamentos!$D$5:$D$2004,Lançamentos!$B$5:$B$2004,J$4,Lançamentos!$G$5:$G$2004,$A5)</f>
        <v>0</v>
      </c>
      <c r="K5" s="7" t="n">
        <f aca="false">SUMIFS(Lançamentos!$D$5:$D$2004,Lançamentos!$B$5:$B$2004,K$4,Lançamentos!$G$5:$G$2004,$A5)</f>
        <v>0</v>
      </c>
      <c r="L5" s="7" t="n">
        <f aca="false">SUMIFS(Lançamentos!$D$5:$D$2004,Lançamentos!$B$5:$B$2004,L$4,Lançamentos!$G$5:$G$2004,$A5)</f>
        <v>0</v>
      </c>
      <c r="M5" s="7" t="n">
        <f aca="false">SUMIFS(Lançamentos!$D$5:$D$2004,Lançamentos!$B$5:$B$2004,M$4,Lançamentos!$G$5:$G$2004,$A5)</f>
        <v>0</v>
      </c>
      <c r="N5" s="7" t="n">
        <f aca="false">SUMIFS(Lançamentos!$D$5:$D$2004,Lançamentos!$B$5:$B$2004,N$4,Lançamentos!$G$5:$G$2004,$A5)</f>
        <v>0</v>
      </c>
      <c r="O5" s="7" t="n">
        <f aca="false">SUMIFS(Lançamentos!$D$5:$D$2004,Lançamentos!$B$5:$B$2004,O$4,Lançamentos!$G$5:$G$2004,$A5)</f>
        <v>0</v>
      </c>
      <c r="P5" s="7" t="n">
        <f aca="false">SUMIFS(Lançamentos!$D$5:$D$2004,Lançamentos!$B$5:$B$2004,P$4,Lançamentos!$G$5:$G$2004,$A5)</f>
        <v>0</v>
      </c>
      <c r="Q5" s="7" t="n">
        <f aca="false">SUMIFS(Lançamentos!$D$5:$D$2004,Lançamentos!$B$5:$B$2004,Q$4,Lançamentos!$G$5:$G$2004,$A5)</f>
        <v>0</v>
      </c>
      <c r="R5" s="7" t="n">
        <f aca="false">SUMIFS(Lançamentos!$D$5:$D$2004,Lançamentos!$B$5:$B$2004,R$4,Lançamentos!$G$5:$G$2004,$A5)</f>
        <v>0</v>
      </c>
    </row>
    <row r="6" customFormat="false" ht="15" hidden="false" customHeight="false" outlineLevel="0" collapsed="false">
      <c r="A6" s="34" t="n">
        <f aca="false">A5+7</f>
        <v>46300</v>
      </c>
      <c r="B6" s="34" t="n">
        <f aca="false">A6+6</f>
        <v>46306</v>
      </c>
      <c r="C6" s="7" t="n">
        <f aca="false">SUMIFS(Lançamentos!$D$5:$D$2004,Lançamentos!$F$5:$F$2004,"Ganho",Lançamentos!$G$5:$G$2004,$A6)</f>
        <v>0</v>
      </c>
      <c r="D6" s="7" t="n">
        <f aca="false">SUMIFS(Lançamentos!$D$5:$D$2004,Lançamentos!$F$5:$F$2004,"Gasto",Lançamentos!$G$5:$G$2004,$A6)</f>
        <v>62.9</v>
      </c>
      <c r="E6" s="35" t="n">
        <f aca="false">C6-D6</f>
        <v>-62.9</v>
      </c>
      <c r="F6" s="7" t="n">
        <f aca="false">SUMIFS(Lançamentos!$D$5:$D$2004,Lançamentos!$B$5:$B$2004,F$4,Lançamentos!$G$5:$G$2004,$A6)</f>
        <v>0</v>
      </c>
      <c r="G6" s="7" t="n">
        <f aca="false">SUMIFS(Lançamentos!$D$5:$D$2004,Lançamentos!$B$5:$B$2004,G$4,Lançamentos!$G$5:$G$2004,$A6)</f>
        <v>0</v>
      </c>
      <c r="H6" s="7" t="n">
        <f aca="false">SUMIFS(Lançamentos!$D$5:$D$2004,Lançamentos!$B$5:$B$2004,H$4,Lançamentos!$G$5:$G$2004,$A6)</f>
        <v>0</v>
      </c>
      <c r="I6" s="7" t="n">
        <f aca="false">SUMIFS(Lançamentos!$D$5:$D$2004,Lançamentos!$B$5:$B$2004,I$4,Lançamentos!$G$5:$G$2004,$A6)</f>
        <v>0</v>
      </c>
      <c r="J6" s="7" t="n">
        <f aca="false">SUMIFS(Lançamentos!$D$5:$D$2004,Lançamentos!$B$5:$B$2004,J$4,Lançamentos!$G$5:$G$2004,$A6)</f>
        <v>0</v>
      </c>
      <c r="K6" s="7" t="n">
        <f aca="false">SUMIFS(Lançamentos!$D$5:$D$2004,Lançamentos!$B$5:$B$2004,K$4,Lançamentos!$G$5:$G$2004,$A6)</f>
        <v>62.9</v>
      </c>
      <c r="L6" s="7" t="n">
        <f aca="false">SUMIFS(Lançamentos!$D$5:$D$2004,Lançamentos!$B$5:$B$2004,L$4,Lançamentos!$G$5:$G$2004,$A6)</f>
        <v>0</v>
      </c>
      <c r="M6" s="7" t="n">
        <f aca="false">SUMIFS(Lançamentos!$D$5:$D$2004,Lançamentos!$B$5:$B$2004,M$4,Lançamentos!$G$5:$G$2004,$A6)</f>
        <v>0</v>
      </c>
      <c r="N6" s="7" t="n">
        <f aca="false">SUMIFS(Lançamentos!$D$5:$D$2004,Lançamentos!$B$5:$B$2004,N$4,Lançamentos!$G$5:$G$2004,$A6)</f>
        <v>0</v>
      </c>
      <c r="O6" s="7" t="n">
        <f aca="false">SUMIFS(Lançamentos!$D$5:$D$2004,Lançamentos!$B$5:$B$2004,O$4,Lançamentos!$G$5:$G$2004,$A6)</f>
        <v>0</v>
      </c>
      <c r="P6" s="7" t="n">
        <f aca="false">SUMIFS(Lançamentos!$D$5:$D$2004,Lançamentos!$B$5:$B$2004,P$4,Lançamentos!$G$5:$G$2004,$A6)</f>
        <v>0</v>
      </c>
      <c r="Q6" s="7" t="n">
        <f aca="false">SUMIFS(Lançamentos!$D$5:$D$2004,Lançamentos!$B$5:$B$2004,Q$4,Lançamentos!$G$5:$G$2004,$A6)</f>
        <v>0</v>
      </c>
      <c r="R6" s="7" t="n">
        <f aca="false">SUMIFS(Lançamentos!$D$5:$D$2004,Lançamentos!$B$5:$B$2004,R$4,Lançamentos!$G$5:$G$2004,$A6)</f>
        <v>0</v>
      </c>
    </row>
    <row r="7" customFormat="false" ht="15" hidden="false" customHeight="false" outlineLevel="0" collapsed="false">
      <c r="A7" s="34" t="n">
        <f aca="false">A6+7</f>
        <v>46307</v>
      </c>
      <c r="B7" s="34" t="n">
        <f aca="false">A7+6</f>
        <v>46313</v>
      </c>
      <c r="C7" s="7" t="n">
        <f aca="false">SUMIFS(Lançamentos!$D$5:$D$2004,Lançamentos!$F$5:$F$2004,"Ganho",Lançamentos!$G$5:$G$2004,$A7)</f>
        <v>0</v>
      </c>
      <c r="D7" s="7" t="n">
        <f aca="false">SUMIFS(Lançamentos!$D$5:$D$2004,Lançamentos!$F$5:$F$2004,"Gasto",Lançamentos!$G$5:$G$2004,$A7)</f>
        <v>0</v>
      </c>
      <c r="E7" s="35" t="n">
        <f aca="false">C7-D7</f>
        <v>0</v>
      </c>
      <c r="F7" s="7" t="n">
        <f aca="false">SUMIFS(Lançamentos!$D$5:$D$2004,Lançamentos!$B$5:$B$2004,F$4,Lançamentos!$G$5:$G$2004,$A7)</f>
        <v>0</v>
      </c>
      <c r="G7" s="7" t="n">
        <f aca="false">SUMIFS(Lançamentos!$D$5:$D$2004,Lançamentos!$B$5:$B$2004,G$4,Lançamentos!$G$5:$G$2004,$A7)</f>
        <v>0</v>
      </c>
      <c r="H7" s="7" t="n">
        <f aca="false">SUMIFS(Lançamentos!$D$5:$D$2004,Lançamentos!$B$5:$B$2004,H$4,Lançamentos!$G$5:$G$2004,$A7)</f>
        <v>0</v>
      </c>
      <c r="I7" s="7" t="n">
        <f aca="false">SUMIFS(Lançamentos!$D$5:$D$2004,Lançamentos!$B$5:$B$2004,I$4,Lançamentos!$G$5:$G$2004,$A7)</f>
        <v>0</v>
      </c>
      <c r="J7" s="7" t="n">
        <f aca="false">SUMIFS(Lançamentos!$D$5:$D$2004,Lançamentos!$B$5:$B$2004,J$4,Lançamentos!$G$5:$G$2004,$A7)</f>
        <v>0</v>
      </c>
      <c r="K7" s="7" t="n">
        <f aca="false">SUMIFS(Lançamentos!$D$5:$D$2004,Lançamentos!$B$5:$B$2004,K$4,Lançamentos!$G$5:$G$2004,$A7)</f>
        <v>0</v>
      </c>
      <c r="L7" s="7" t="n">
        <f aca="false">SUMIFS(Lançamentos!$D$5:$D$2004,Lançamentos!$B$5:$B$2004,L$4,Lançamentos!$G$5:$G$2004,$A7)</f>
        <v>0</v>
      </c>
      <c r="M7" s="7" t="n">
        <f aca="false">SUMIFS(Lançamentos!$D$5:$D$2004,Lançamentos!$B$5:$B$2004,M$4,Lançamentos!$G$5:$G$2004,$A7)</f>
        <v>0</v>
      </c>
      <c r="N7" s="7" t="n">
        <f aca="false">SUMIFS(Lançamentos!$D$5:$D$2004,Lançamentos!$B$5:$B$2004,N$4,Lançamentos!$G$5:$G$2004,$A7)</f>
        <v>0</v>
      </c>
      <c r="O7" s="7" t="n">
        <f aca="false">SUMIFS(Lançamentos!$D$5:$D$2004,Lançamentos!$B$5:$B$2004,O$4,Lançamentos!$G$5:$G$2004,$A7)</f>
        <v>0</v>
      </c>
      <c r="P7" s="7" t="n">
        <f aca="false">SUMIFS(Lançamentos!$D$5:$D$2004,Lançamentos!$B$5:$B$2004,P$4,Lançamentos!$G$5:$G$2004,$A7)</f>
        <v>0</v>
      </c>
      <c r="Q7" s="7" t="n">
        <f aca="false">SUMIFS(Lançamentos!$D$5:$D$2004,Lançamentos!$B$5:$B$2004,Q$4,Lançamentos!$G$5:$G$2004,$A7)</f>
        <v>0</v>
      </c>
      <c r="R7" s="7" t="n">
        <f aca="false">SUMIFS(Lançamentos!$D$5:$D$2004,Lançamentos!$B$5:$B$2004,R$4,Lançamentos!$G$5:$G$2004,$A7)</f>
        <v>0</v>
      </c>
    </row>
    <row r="8" customFormat="false" ht="15" hidden="false" customHeight="false" outlineLevel="0" collapsed="false">
      <c r="A8" s="34" t="n">
        <f aca="false">A7+7</f>
        <v>46314</v>
      </c>
      <c r="B8" s="34" t="n">
        <f aca="false">A8+6</f>
        <v>46320</v>
      </c>
      <c r="C8" s="7" t="n">
        <f aca="false">SUMIFS(Lançamentos!$D$5:$D$2004,Lançamentos!$F$5:$F$2004,"Ganho",Lançamentos!$G$5:$G$2004,$A8)</f>
        <v>0</v>
      </c>
      <c r="D8" s="7" t="n">
        <f aca="false">SUMIFS(Lançamentos!$D$5:$D$2004,Lançamentos!$F$5:$F$2004,"Gasto",Lançamentos!$G$5:$G$2004,$A8)</f>
        <v>0</v>
      </c>
      <c r="E8" s="35" t="n">
        <f aca="false">C8-D8</f>
        <v>0</v>
      </c>
      <c r="F8" s="7" t="n">
        <f aca="false">SUMIFS(Lançamentos!$D$5:$D$2004,Lançamentos!$B$5:$B$2004,F$4,Lançamentos!$G$5:$G$2004,$A8)</f>
        <v>0</v>
      </c>
      <c r="G8" s="7" t="n">
        <f aca="false">SUMIFS(Lançamentos!$D$5:$D$2004,Lançamentos!$B$5:$B$2004,G$4,Lançamentos!$G$5:$G$2004,$A8)</f>
        <v>0</v>
      </c>
      <c r="H8" s="7" t="n">
        <f aca="false">SUMIFS(Lançamentos!$D$5:$D$2004,Lançamentos!$B$5:$B$2004,H$4,Lançamentos!$G$5:$G$2004,$A8)</f>
        <v>0</v>
      </c>
      <c r="I8" s="7" t="n">
        <f aca="false">SUMIFS(Lançamentos!$D$5:$D$2004,Lançamentos!$B$5:$B$2004,I$4,Lançamentos!$G$5:$G$2004,$A8)</f>
        <v>0</v>
      </c>
      <c r="J8" s="7" t="n">
        <f aca="false">SUMIFS(Lançamentos!$D$5:$D$2004,Lançamentos!$B$5:$B$2004,J$4,Lançamentos!$G$5:$G$2004,$A8)</f>
        <v>0</v>
      </c>
      <c r="K8" s="7" t="n">
        <f aca="false">SUMIFS(Lançamentos!$D$5:$D$2004,Lançamentos!$B$5:$B$2004,K$4,Lançamentos!$G$5:$G$2004,$A8)</f>
        <v>0</v>
      </c>
      <c r="L8" s="7" t="n">
        <f aca="false">SUMIFS(Lançamentos!$D$5:$D$2004,Lançamentos!$B$5:$B$2004,L$4,Lançamentos!$G$5:$G$2004,$A8)</f>
        <v>0</v>
      </c>
      <c r="M8" s="7" t="n">
        <f aca="false">SUMIFS(Lançamentos!$D$5:$D$2004,Lançamentos!$B$5:$B$2004,M$4,Lançamentos!$G$5:$G$2004,$A8)</f>
        <v>0</v>
      </c>
      <c r="N8" s="7" t="n">
        <f aca="false">SUMIFS(Lançamentos!$D$5:$D$2004,Lançamentos!$B$5:$B$2004,N$4,Lançamentos!$G$5:$G$2004,$A8)</f>
        <v>0</v>
      </c>
      <c r="O8" s="7" t="n">
        <f aca="false">SUMIFS(Lançamentos!$D$5:$D$2004,Lançamentos!$B$5:$B$2004,O$4,Lançamentos!$G$5:$G$2004,$A8)</f>
        <v>0</v>
      </c>
      <c r="P8" s="7" t="n">
        <f aca="false">SUMIFS(Lançamentos!$D$5:$D$2004,Lançamentos!$B$5:$B$2004,P$4,Lançamentos!$G$5:$G$2004,$A8)</f>
        <v>0</v>
      </c>
      <c r="Q8" s="7" t="n">
        <f aca="false">SUMIFS(Lançamentos!$D$5:$D$2004,Lançamentos!$B$5:$B$2004,Q$4,Lançamentos!$G$5:$G$2004,$A8)</f>
        <v>0</v>
      </c>
      <c r="R8" s="7" t="n">
        <f aca="false">SUMIFS(Lançamentos!$D$5:$D$2004,Lançamentos!$B$5:$B$2004,R$4,Lançamentos!$G$5:$G$2004,$A8)</f>
        <v>0</v>
      </c>
    </row>
    <row r="9" customFormat="false" ht="15" hidden="false" customHeight="false" outlineLevel="0" collapsed="false">
      <c r="A9" s="34" t="n">
        <f aca="false">A8+7</f>
        <v>46321</v>
      </c>
      <c r="B9" s="34" t="n">
        <f aca="false">A9+6</f>
        <v>46327</v>
      </c>
      <c r="C9" s="7" t="n">
        <f aca="false">SUMIFS(Lançamentos!$D$5:$D$2004,Lançamentos!$F$5:$F$2004,"Ganho",Lançamentos!$G$5:$G$2004,$A9)</f>
        <v>0</v>
      </c>
      <c r="D9" s="7" t="n">
        <f aca="false">SUMIFS(Lançamentos!$D$5:$D$2004,Lançamentos!$F$5:$F$2004,"Gasto",Lançamentos!$G$5:$G$2004,$A9)</f>
        <v>0</v>
      </c>
      <c r="E9" s="35" t="n">
        <f aca="false">C9-D9</f>
        <v>0</v>
      </c>
      <c r="F9" s="7" t="n">
        <f aca="false">SUMIFS(Lançamentos!$D$5:$D$2004,Lançamentos!$B$5:$B$2004,F$4,Lançamentos!$G$5:$G$2004,$A9)</f>
        <v>0</v>
      </c>
      <c r="G9" s="7" t="n">
        <f aca="false">SUMIFS(Lançamentos!$D$5:$D$2004,Lançamentos!$B$5:$B$2004,G$4,Lançamentos!$G$5:$G$2004,$A9)</f>
        <v>0</v>
      </c>
      <c r="H9" s="7" t="n">
        <f aca="false">SUMIFS(Lançamentos!$D$5:$D$2004,Lançamentos!$B$5:$B$2004,H$4,Lançamentos!$G$5:$G$2004,$A9)</f>
        <v>0</v>
      </c>
      <c r="I9" s="7" t="n">
        <f aca="false">SUMIFS(Lançamentos!$D$5:$D$2004,Lançamentos!$B$5:$B$2004,I$4,Lançamentos!$G$5:$G$2004,$A9)</f>
        <v>0</v>
      </c>
      <c r="J9" s="7" t="n">
        <f aca="false">SUMIFS(Lançamentos!$D$5:$D$2004,Lançamentos!$B$5:$B$2004,J$4,Lançamentos!$G$5:$G$2004,$A9)</f>
        <v>0</v>
      </c>
      <c r="K9" s="7" t="n">
        <f aca="false">SUMIFS(Lançamentos!$D$5:$D$2004,Lançamentos!$B$5:$B$2004,K$4,Lançamentos!$G$5:$G$2004,$A9)</f>
        <v>0</v>
      </c>
      <c r="L9" s="7" t="n">
        <f aca="false">SUMIFS(Lançamentos!$D$5:$D$2004,Lançamentos!$B$5:$B$2004,L$4,Lançamentos!$G$5:$G$2004,$A9)</f>
        <v>0</v>
      </c>
      <c r="M9" s="7" t="n">
        <f aca="false">SUMIFS(Lançamentos!$D$5:$D$2004,Lançamentos!$B$5:$B$2004,M$4,Lançamentos!$G$5:$G$2004,$A9)</f>
        <v>0</v>
      </c>
      <c r="N9" s="7" t="n">
        <f aca="false">SUMIFS(Lançamentos!$D$5:$D$2004,Lançamentos!$B$5:$B$2004,N$4,Lançamentos!$G$5:$G$2004,$A9)</f>
        <v>0</v>
      </c>
      <c r="O9" s="7" t="n">
        <f aca="false">SUMIFS(Lançamentos!$D$5:$D$2004,Lançamentos!$B$5:$B$2004,O$4,Lançamentos!$G$5:$G$2004,$A9)</f>
        <v>0</v>
      </c>
      <c r="P9" s="7" t="n">
        <f aca="false">SUMIFS(Lançamentos!$D$5:$D$2004,Lançamentos!$B$5:$B$2004,P$4,Lançamentos!$G$5:$G$2004,$A9)</f>
        <v>0</v>
      </c>
      <c r="Q9" s="7" t="n">
        <f aca="false">SUMIFS(Lançamentos!$D$5:$D$2004,Lançamentos!$B$5:$B$2004,Q$4,Lançamentos!$G$5:$G$2004,$A9)</f>
        <v>0</v>
      </c>
      <c r="R9" s="7" t="n">
        <f aca="false">SUMIFS(Lançamentos!$D$5:$D$2004,Lançamentos!$B$5:$B$2004,R$4,Lançamentos!$G$5:$G$2004,$A9)</f>
        <v>0</v>
      </c>
    </row>
    <row r="10" customFormat="false" ht="15" hidden="false" customHeight="false" outlineLevel="0" collapsed="false">
      <c r="A10" s="34" t="n">
        <f aca="false">A9+7</f>
        <v>46328</v>
      </c>
      <c r="B10" s="34" t="n">
        <f aca="false">A10+6</f>
        <v>46334</v>
      </c>
      <c r="C10" s="7" t="n">
        <f aca="false">SUMIFS(Lançamentos!$D$5:$D$2004,Lançamentos!$F$5:$F$2004,"Ganho",Lançamentos!$G$5:$G$2004,$A10)</f>
        <v>0</v>
      </c>
      <c r="D10" s="7" t="n">
        <f aca="false">SUMIFS(Lançamentos!$D$5:$D$2004,Lançamentos!$F$5:$F$2004,"Gasto",Lançamentos!$G$5:$G$2004,$A10)</f>
        <v>0</v>
      </c>
      <c r="E10" s="35" t="n">
        <f aca="false">C10-D10</f>
        <v>0</v>
      </c>
      <c r="F10" s="7" t="n">
        <f aca="false">SUMIFS(Lançamentos!$D$5:$D$2004,Lançamentos!$B$5:$B$2004,F$4,Lançamentos!$G$5:$G$2004,$A10)</f>
        <v>0</v>
      </c>
      <c r="G10" s="7" t="n">
        <f aca="false">SUMIFS(Lançamentos!$D$5:$D$2004,Lançamentos!$B$5:$B$2004,G$4,Lançamentos!$G$5:$G$2004,$A10)</f>
        <v>0</v>
      </c>
      <c r="H10" s="7" t="n">
        <f aca="false">SUMIFS(Lançamentos!$D$5:$D$2004,Lançamentos!$B$5:$B$2004,H$4,Lançamentos!$G$5:$G$2004,$A10)</f>
        <v>0</v>
      </c>
      <c r="I10" s="7" t="n">
        <f aca="false">SUMIFS(Lançamentos!$D$5:$D$2004,Lançamentos!$B$5:$B$2004,I$4,Lançamentos!$G$5:$G$2004,$A10)</f>
        <v>0</v>
      </c>
      <c r="J10" s="7" t="n">
        <f aca="false">SUMIFS(Lançamentos!$D$5:$D$2004,Lançamentos!$B$5:$B$2004,J$4,Lançamentos!$G$5:$G$2004,$A10)</f>
        <v>0</v>
      </c>
      <c r="K10" s="7" t="n">
        <f aca="false">SUMIFS(Lançamentos!$D$5:$D$2004,Lançamentos!$B$5:$B$2004,K$4,Lançamentos!$G$5:$G$2004,$A10)</f>
        <v>0</v>
      </c>
      <c r="L10" s="7" t="n">
        <f aca="false">SUMIFS(Lançamentos!$D$5:$D$2004,Lançamentos!$B$5:$B$2004,L$4,Lançamentos!$G$5:$G$2004,$A10)</f>
        <v>0</v>
      </c>
      <c r="M10" s="7" t="n">
        <f aca="false">SUMIFS(Lançamentos!$D$5:$D$2004,Lançamentos!$B$5:$B$2004,M$4,Lançamentos!$G$5:$G$2004,$A10)</f>
        <v>0</v>
      </c>
      <c r="N10" s="7" t="n">
        <f aca="false">SUMIFS(Lançamentos!$D$5:$D$2004,Lançamentos!$B$5:$B$2004,N$4,Lançamentos!$G$5:$G$2004,$A10)</f>
        <v>0</v>
      </c>
      <c r="O10" s="7" t="n">
        <f aca="false">SUMIFS(Lançamentos!$D$5:$D$2004,Lançamentos!$B$5:$B$2004,O$4,Lançamentos!$G$5:$G$2004,$A10)</f>
        <v>0</v>
      </c>
      <c r="P10" s="7" t="n">
        <f aca="false">SUMIFS(Lançamentos!$D$5:$D$2004,Lançamentos!$B$5:$B$2004,P$4,Lançamentos!$G$5:$G$2004,$A10)</f>
        <v>0</v>
      </c>
      <c r="Q10" s="7" t="n">
        <f aca="false">SUMIFS(Lançamentos!$D$5:$D$2004,Lançamentos!$B$5:$B$2004,Q$4,Lançamentos!$G$5:$G$2004,$A10)</f>
        <v>0</v>
      </c>
      <c r="R10" s="7" t="n">
        <f aca="false">SUMIFS(Lançamentos!$D$5:$D$2004,Lançamentos!$B$5:$B$2004,R$4,Lançamentos!$G$5:$G$2004,$A10)</f>
        <v>0</v>
      </c>
    </row>
    <row r="11" customFormat="false" ht="15" hidden="false" customHeight="false" outlineLevel="0" collapsed="false">
      <c r="A11" s="34" t="n">
        <f aca="false">A10+7</f>
        <v>46335</v>
      </c>
      <c r="B11" s="34" t="n">
        <f aca="false">A11+6</f>
        <v>46341</v>
      </c>
      <c r="C11" s="7" t="n">
        <f aca="false">SUMIFS(Lançamentos!$D$5:$D$2004,Lançamentos!$F$5:$F$2004,"Ganho",Lançamentos!$G$5:$G$2004,$A11)</f>
        <v>0</v>
      </c>
      <c r="D11" s="7" t="n">
        <f aca="false">SUMIFS(Lançamentos!$D$5:$D$2004,Lançamentos!$F$5:$F$2004,"Gasto",Lançamentos!$G$5:$G$2004,$A11)</f>
        <v>0</v>
      </c>
      <c r="E11" s="35" t="n">
        <f aca="false">C11-D11</f>
        <v>0</v>
      </c>
      <c r="F11" s="7" t="n">
        <f aca="false">SUMIFS(Lançamentos!$D$5:$D$2004,Lançamentos!$B$5:$B$2004,F$4,Lançamentos!$G$5:$G$2004,$A11)</f>
        <v>0</v>
      </c>
      <c r="G11" s="7" t="n">
        <f aca="false">SUMIFS(Lançamentos!$D$5:$D$2004,Lançamentos!$B$5:$B$2004,G$4,Lançamentos!$G$5:$G$2004,$A11)</f>
        <v>0</v>
      </c>
      <c r="H11" s="7" t="n">
        <f aca="false">SUMIFS(Lançamentos!$D$5:$D$2004,Lançamentos!$B$5:$B$2004,H$4,Lançamentos!$G$5:$G$2004,$A11)</f>
        <v>0</v>
      </c>
      <c r="I11" s="7" t="n">
        <f aca="false">SUMIFS(Lançamentos!$D$5:$D$2004,Lançamentos!$B$5:$B$2004,I$4,Lançamentos!$G$5:$G$2004,$A11)</f>
        <v>0</v>
      </c>
      <c r="J11" s="7" t="n">
        <f aca="false">SUMIFS(Lançamentos!$D$5:$D$2004,Lançamentos!$B$5:$B$2004,J$4,Lançamentos!$G$5:$G$2004,$A11)</f>
        <v>0</v>
      </c>
      <c r="K11" s="7" t="n">
        <f aca="false">SUMIFS(Lançamentos!$D$5:$D$2004,Lançamentos!$B$5:$B$2004,K$4,Lançamentos!$G$5:$G$2004,$A11)</f>
        <v>0</v>
      </c>
      <c r="L11" s="7" t="n">
        <f aca="false">SUMIFS(Lançamentos!$D$5:$D$2004,Lançamentos!$B$5:$B$2004,L$4,Lançamentos!$G$5:$G$2004,$A11)</f>
        <v>0</v>
      </c>
      <c r="M11" s="7" t="n">
        <f aca="false">SUMIFS(Lançamentos!$D$5:$D$2004,Lançamentos!$B$5:$B$2004,M$4,Lançamentos!$G$5:$G$2004,$A11)</f>
        <v>0</v>
      </c>
      <c r="N11" s="7" t="n">
        <f aca="false">SUMIFS(Lançamentos!$D$5:$D$2004,Lançamentos!$B$5:$B$2004,N$4,Lançamentos!$G$5:$G$2004,$A11)</f>
        <v>0</v>
      </c>
      <c r="O11" s="7" t="n">
        <f aca="false">SUMIFS(Lançamentos!$D$5:$D$2004,Lançamentos!$B$5:$B$2004,O$4,Lançamentos!$G$5:$G$2004,$A11)</f>
        <v>0</v>
      </c>
      <c r="P11" s="7" t="n">
        <f aca="false">SUMIFS(Lançamentos!$D$5:$D$2004,Lançamentos!$B$5:$B$2004,P$4,Lançamentos!$G$5:$G$2004,$A11)</f>
        <v>0</v>
      </c>
      <c r="Q11" s="7" t="n">
        <f aca="false">SUMIFS(Lançamentos!$D$5:$D$2004,Lançamentos!$B$5:$B$2004,Q$4,Lançamentos!$G$5:$G$2004,$A11)</f>
        <v>0</v>
      </c>
      <c r="R11" s="7" t="n">
        <f aca="false">SUMIFS(Lançamentos!$D$5:$D$2004,Lançamentos!$B$5:$B$2004,R$4,Lançamentos!$G$5:$G$2004,$A11)</f>
        <v>0</v>
      </c>
    </row>
    <row r="12" customFormat="false" ht="15" hidden="false" customHeight="false" outlineLevel="0" collapsed="false">
      <c r="A12" s="34" t="n">
        <f aca="false">A11+7</f>
        <v>46342</v>
      </c>
      <c r="B12" s="34" t="n">
        <f aca="false">A12+6</f>
        <v>46348</v>
      </c>
      <c r="C12" s="7" t="n">
        <f aca="false">SUMIFS(Lançamentos!$D$5:$D$2004,Lançamentos!$F$5:$F$2004,"Ganho",Lançamentos!$G$5:$G$2004,$A12)</f>
        <v>0</v>
      </c>
      <c r="D12" s="7" t="n">
        <f aca="false">SUMIFS(Lançamentos!$D$5:$D$2004,Lançamentos!$F$5:$F$2004,"Gasto",Lançamentos!$G$5:$G$2004,$A12)</f>
        <v>0</v>
      </c>
      <c r="E12" s="35" t="n">
        <f aca="false">C12-D12</f>
        <v>0</v>
      </c>
      <c r="F12" s="7" t="n">
        <f aca="false">SUMIFS(Lançamentos!$D$5:$D$2004,Lançamentos!$B$5:$B$2004,F$4,Lançamentos!$G$5:$G$2004,$A12)</f>
        <v>0</v>
      </c>
      <c r="G12" s="7" t="n">
        <f aca="false">SUMIFS(Lançamentos!$D$5:$D$2004,Lançamentos!$B$5:$B$2004,G$4,Lançamentos!$G$5:$G$2004,$A12)</f>
        <v>0</v>
      </c>
      <c r="H12" s="7" t="n">
        <f aca="false">SUMIFS(Lançamentos!$D$5:$D$2004,Lançamentos!$B$5:$B$2004,H$4,Lançamentos!$G$5:$G$2004,$A12)</f>
        <v>0</v>
      </c>
      <c r="I12" s="7" t="n">
        <f aca="false">SUMIFS(Lançamentos!$D$5:$D$2004,Lançamentos!$B$5:$B$2004,I$4,Lançamentos!$G$5:$G$2004,$A12)</f>
        <v>0</v>
      </c>
      <c r="J12" s="7" t="n">
        <f aca="false">SUMIFS(Lançamentos!$D$5:$D$2004,Lançamentos!$B$5:$B$2004,J$4,Lançamentos!$G$5:$G$2004,$A12)</f>
        <v>0</v>
      </c>
      <c r="K12" s="7" t="n">
        <f aca="false">SUMIFS(Lançamentos!$D$5:$D$2004,Lançamentos!$B$5:$B$2004,K$4,Lançamentos!$G$5:$G$2004,$A12)</f>
        <v>0</v>
      </c>
      <c r="L12" s="7" t="n">
        <f aca="false">SUMIFS(Lançamentos!$D$5:$D$2004,Lançamentos!$B$5:$B$2004,L$4,Lançamentos!$G$5:$G$2004,$A12)</f>
        <v>0</v>
      </c>
      <c r="M12" s="7" t="n">
        <f aca="false">SUMIFS(Lançamentos!$D$5:$D$2004,Lançamentos!$B$5:$B$2004,M$4,Lançamentos!$G$5:$G$2004,$A12)</f>
        <v>0</v>
      </c>
      <c r="N12" s="7" t="n">
        <f aca="false">SUMIFS(Lançamentos!$D$5:$D$2004,Lançamentos!$B$5:$B$2004,N$4,Lançamentos!$G$5:$G$2004,$A12)</f>
        <v>0</v>
      </c>
      <c r="O12" s="7" t="n">
        <f aca="false">SUMIFS(Lançamentos!$D$5:$D$2004,Lançamentos!$B$5:$B$2004,O$4,Lançamentos!$G$5:$G$2004,$A12)</f>
        <v>0</v>
      </c>
      <c r="P12" s="7" t="n">
        <f aca="false">SUMIFS(Lançamentos!$D$5:$D$2004,Lançamentos!$B$5:$B$2004,P$4,Lançamentos!$G$5:$G$2004,$A12)</f>
        <v>0</v>
      </c>
      <c r="Q12" s="7" t="n">
        <f aca="false">SUMIFS(Lançamentos!$D$5:$D$2004,Lançamentos!$B$5:$B$2004,Q$4,Lançamentos!$G$5:$G$2004,$A12)</f>
        <v>0</v>
      </c>
      <c r="R12" s="7" t="n">
        <f aca="false">SUMIFS(Lançamentos!$D$5:$D$2004,Lançamentos!$B$5:$B$2004,R$4,Lançamentos!$G$5:$G$2004,$A12)</f>
        <v>0</v>
      </c>
    </row>
    <row r="13" customFormat="false" ht="15" hidden="false" customHeight="false" outlineLevel="0" collapsed="false">
      <c r="A13" s="34" t="n">
        <f aca="false">A12+7</f>
        <v>46349</v>
      </c>
      <c r="B13" s="34" t="n">
        <f aca="false">A13+6</f>
        <v>46355</v>
      </c>
      <c r="C13" s="7" t="n">
        <f aca="false">SUMIFS(Lançamentos!$D$5:$D$2004,Lançamentos!$F$5:$F$2004,"Ganho",Lançamentos!$G$5:$G$2004,$A13)</f>
        <v>0</v>
      </c>
      <c r="D13" s="7" t="n">
        <f aca="false">SUMIFS(Lançamentos!$D$5:$D$2004,Lançamentos!$F$5:$F$2004,"Gasto",Lançamentos!$G$5:$G$2004,$A13)</f>
        <v>0</v>
      </c>
      <c r="E13" s="35" t="n">
        <f aca="false">C13-D13</f>
        <v>0</v>
      </c>
      <c r="F13" s="7" t="n">
        <f aca="false">SUMIFS(Lançamentos!$D$5:$D$2004,Lançamentos!$B$5:$B$2004,F$4,Lançamentos!$G$5:$G$2004,$A13)</f>
        <v>0</v>
      </c>
      <c r="G13" s="7" t="n">
        <f aca="false">SUMIFS(Lançamentos!$D$5:$D$2004,Lançamentos!$B$5:$B$2004,G$4,Lançamentos!$G$5:$G$2004,$A13)</f>
        <v>0</v>
      </c>
      <c r="H13" s="7" t="n">
        <f aca="false">SUMIFS(Lançamentos!$D$5:$D$2004,Lançamentos!$B$5:$B$2004,H$4,Lançamentos!$G$5:$G$2004,$A13)</f>
        <v>0</v>
      </c>
      <c r="I13" s="7" t="n">
        <f aca="false">SUMIFS(Lançamentos!$D$5:$D$2004,Lançamentos!$B$5:$B$2004,I$4,Lançamentos!$G$5:$G$2004,$A13)</f>
        <v>0</v>
      </c>
      <c r="J13" s="7" t="n">
        <f aca="false">SUMIFS(Lançamentos!$D$5:$D$2004,Lançamentos!$B$5:$B$2004,J$4,Lançamentos!$G$5:$G$2004,$A13)</f>
        <v>0</v>
      </c>
      <c r="K13" s="7" t="n">
        <f aca="false">SUMIFS(Lançamentos!$D$5:$D$2004,Lançamentos!$B$5:$B$2004,K$4,Lançamentos!$G$5:$G$2004,$A13)</f>
        <v>0</v>
      </c>
      <c r="L13" s="7" t="n">
        <f aca="false">SUMIFS(Lançamentos!$D$5:$D$2004,Lançamentos!$B$5:$B$2004,L$4,Lançamentos!$G$5:$G$2004,$A13)</f>
        <v>0</v>
      </c>
      <c r="M13" s="7" t="n">
        <f aca="false">SUMIFS(Lançamentos!$D$5:$D$2004,Lançamentos!$B$5:$B$2004,M$4,Lançamentos!$G$5:$G$2004,$A13)</f>
        <v>0</v>
      </c>
      <c r="N13" s="7" t="n">
        <f aca="false">SUMIFS(Lançamentos!$D$5:$D$2004,Lançamentos!$B$5:$B$2004,N$4,Lançamentos!$G$5:$G$2004,$A13)</f>
        <v>0</v>
      </c>
      <c r="O13" s="7" t="n">
        <f aca="false">SUMIFS(Lançamentos!$D$5:$D$2004,Lançamentos!$B$5:$B$2004,O$4,Lançamentos!$G$5:$G$2004,$A13)</f>
        <v>0</v>
      </c>
      <c r="P13" s="7" t="n">
        <f aca="false">SUMIFS(Lançamentos!$D$5:$D$2004,Lançamentos!$B$5:$B$2004,P$4,Lançamentos!$G$5:$G$2004,$A13)</f>
        <v>0</v>
      </c>
      <c r="Q13" s="7" t="n">
        <f aca="false">SUMIFS(Lançamentos!$D$5:$D$2004,Lançamentos!$B$5:$B$2004,Q$4,Lançamentos!$G$5:$G$2004,$A13)</f>
        <v>0</v>
      </c>
      <c r="R13" s="7" t="n">
        <f aca="false">SUMIFS(Lançamentos!$D$5:$D$2004,Lançamentos!$B$5:$B$2004,R$4,Lançamentos!$G$5:$G$2004,$A13)</f>
        <v>0</v>
      </c>
    </row>
    <row r="14" customFormat="false" ht="15" hidden="false" customHeight="false" outlineLevel="0" collapsed="false">
      <c r="A14" s="34" t="n">
        <f aca="false">A13+7</f>
        <v>46356</v>
      </c>
      <c r="B14" s="34" t="n">
        <f aca="false">A14+6</f>
        <v>46362</v>
      </c>
      <c r="C14" s="7" t="n">
        <f aca="false">SUMIFS(Lançamentos!$D$5:$D$2004,Lançamentos!$F$5:$F$2004,"Ganho",Lançamentos!$G$5:$G$2004,$A14)</f>
        <v>0</v>
      </c>
      <c r="D14" s="7" t="n">
        <f aca="false">SUMIFS(Lançamentos!$D$5:$D$2004,Lançamentos!$F$5:$F$2004,"Gasto",Lançamentos!$G$5:$G$2004,$A14)</f>
        <v>0</v>
      </c>
      <c r="E14" s="35" t="n">
        <f aca="false">C14-D14</f>
        <v>0</v>
      </c>
      <c r="F14" s="7" t="n">
        <f aca="false">SUMIFS(Lançamentos!$D$5:$D$2004,Lançamentos!$B$5:$B$2004,F$4,Lançamentos!$G$5:$G$2004,$A14)</f>
        <v>0</v>
      </c>
      <c r="G14" s="7" t="n">
        <f aca="false">SUMIFS(Lançamentos!$D$5:$D$2004,Lançamentos!$B$5:$B$2004,G$4,Lançamentos!$G$5:$G$2004,$A14)</f>
        <v>0</v>
      </c>
      <c r="H14" s="7" t="n">
        <f aca="false">SUMIFS(Lançamentos!$D$5:$D$2004,Lançamentos!$B$5:$B$2004,H$4,Lançamentos!$G$5:$G$2004,$A14)</f>
        <v>0</v>
      </c>
      <c r="I14" s="7" t="n">
        <f aca="false">SUMIFS(Lançamentos!$D$5:$D$2004,Lançamentos!$B$5:$B$2004,I$4,Lançamentos!$G$5:$G$2004,$A14)</f>
        <v>0</v>
      </c>
      <c r="J14" s="7" t="n">
        <f aca="false">SUMIFS(Lançamentos!$D$5:$D$2004,Lançamentos!$B$5:$B$2004,J$4,Lançamentos!$G$5:$G$2004,$A14)</f>
        <v>0</v>
      </c>
      <c r="K14" s="7" t="n">
        <f aca="false">SUMIFS(Lançamentos!$D$5:$D$2004,Lançamentos!$B$5:$B$2004,K$4,Lançamentos!$G$5:$G$2004,$A14)</f>
        <v>0</v>
      </c>
      <c r="L14" s="7" t="n">
        <f aca="false">SUMIFS(Lançamentos!$D$5:$D$2004,Lançamentos!$B$5:$B$2004,L$4,Lançamentos!$G$5:$G$2004,$A14)</f>
        <v>0</v>
      </c>
      <c r="M14" s="7" t="n">
        <f aca="false">SUMIFS(Lançamentos!$D$5:$D$2004,Lançamentos!$B$5:$B$2004,M$4,Lançamentos!$G$5:$G$2004,$A14)</f>
        <v>0</v>
      </c>
      <c r="N14" s="7" t="n">
        <f aca="false">SUMIFS(Lançamentos!$D$5:$D$2004,Lançamentos!$B$5:$B$2004,N$4,Lançamentos!$G$5:$G$2004,$A14)</f>
        <v>0</v>
      </c>
      <c r="O14" s="7" t="n">
        <f aca="false">SUMIFS(Lançamentos!$D$5:$D$2004,Lançamentos!$B$5:$B$2004,O$4,Lançamentos!$G$5:$G$2004,$A14)</f>
        <v>0</v>
      </c>
      <c r="P14" s="7" t="n">
        <f aca="false">SUMIFS(Lançamentos!$D$5:$D$2004,Lançamentos!$B$5:$B$2004,P$4,Lançamentos!$G$5:$G$2004,$A14)</f>
        <v>0</v>
      </c>
      <c r="Q14" s="7" t="n">
        <f aca="false">SUMIFS(Lançamentos!$D$5:$D$2004,Lançamentos!$B$5:$B$2004,Q$4,Lançamentos!$G$5:$G$2004,$A14)</f>
        <v>0</v>
      </c>
      <c r="R14" s="7" t="n">
        <f aca="false">SUMIFS(Lançamentos!$D$5:$D$2004,Lançamentos!$B$5:$B$2004,R$4,Lançamentos!$G$5:$G$2004,$A14)</f>
        <v>0</v>
      </c>
    </row>
    <row r="15" customFormat="false" ht="15" hidden="false" customHeight="false" outlineLevel="0" collapsed="false">
      <c r="A15" s="34" t="n">
        <f aca="false">A14+7</f>
        <v>46363</v>
      </c>
      <c r="B15" s="34" t="n">
        <f aca="false">A15+6</f>
        <v>46369</v>
      </c>
      <c r="C15" s="7" t="n">
        <f aca="false">SUMIFS(Lançamentos!$D$5:$D$2004,Lançamentos!$F$5:$F$2004,"Ganho",Lançamentos!$G$5:$G$2004,$A15)</f>
        <v>0</v>
      </c>
      <c r="D15" s="7" t="n">
        <f aca="false">SUMIFS(Lançamentos!$D$5:$D$2004,Lançamentos!$F$5:$F$2004,"Gasto",Lançamentos!$G$5:$G$2004,$A15)</f>
        <v>0</v>
      </c>
      <c r="E15" s="35" t="n">
        <f aca="false">C15-D15</f>
        <v>0</v>
      </c>
      <c r="F15" s="7" t="n">
        <f aca="false">SUMIFS(Lançamentos!$D$5:$D$2004,Lançamentos!$B$5:$B$2004,F$4,Lançamentos!$G$5:$G$2004,$A15)</f>
        <v>0</v>
      </c>
      <c r="G15" s="7" t="n">
        <f aca="false">SUMIFS(Lançamentos!$D$5:$D$2004,Lançamentos!$B$5:$B$2004,G$4,Lançamentos!$G$5:$G$2004,$A15)</f>
        <v>0</v>
      </c>
      <c r="H15" s="7" t="n">
        <f aca="false">SUMIFS(Lançamentos!$D$5:$D$2004,Lançamentos!$B$5:$B$2004,H$4,Lançamentos!$G$5:$G$2004,$A15)</f>
        <v>0</v>
      </c>
      <c r="I15" s="7" t="n">
        <f aca="false">SUMIFS(Lançamentos!$D$5:$D$2004,Lançamentos!$B$5:$B$2004,I$4,Lançamentos!$G$5:$G$2004,$A15)</f>
        <v>0</v>
      </c>
      <c r="J15" s="7" t="n">
        <f aca="false">SUMIFS(Lançamentos!$D$5:$D$2004,Lançamentos!$B$5:$B$2004,J$4,Lançamentos!$G$5:$G$2004,$A15)</f>
        <v>0</v>
      </c>
      <c r="K15" s="7" t="n">
        <f aca="false">SUMIFS(Lançamentos!$D$5:$D$2004,Lançamentos!$B$5:$B$2004,K$4,Lançamentos!$G$5:$G$2004,$A15)</f>
        <v>0</v>
      </c>
      <c r="L15" s="7" t="n">
        <f aca="false">SUMIFS(Lançamentos!$D$5:$D$2004,Lançamentos!$B$5:$B$2004,L$4,Lançamentos!$G$5:$G$2004,$A15)</f>
        <v>0</v>
      </c>
      <c r="M15" s="7" t="n">
        <f aca="false">SUMIFS(Lançamentos!$D$5:$D$2004,Lançamentos!$B$5:$B$2004,M$4,Lançamentos!$G$5:$G$2004,$A15)</f>
        <v>0</v>
      </c>
      <c r="N15" s="7" t="n">
        <f aca="false">SUMIFS(Lançamentos!$D$5:$D$2004,Lançamentos!$B$5:$B$2004,N$4,Lançamentos!$G$5:$G$2004,$A15)</f>
        <v>0</v>
      </c>
      <c r="O15" s="7" t="n">
        <f aca="false">SUMIFS(Lançamentos!$D$5:$D$2004,Lançamentos!$B$5:$B$2004,O$4,Lançamentos!$G$5:$G$2004,$A15)</f>
        <v>0</v>
      </c>
      <c r="P15" s="7" t="n">
        <f aca="false">SUMIFS(Lançamentos!$D$5:$D$2004,Lançamentos!$B$5:$B$2004,P$4,Lançamentos!$G$5:$G$2004,$A15)</f>
        <v>0</v>
      </c>
      <c r="Q15" s="7" t="n">
        <f aca="false">SUMIFS(Lançamentos!$D$5:$D$2004,Lançamentos!$B$5:$B$2004,Q$4,Lançamentos!$G$5:$G$2004,$A15)</f>
        <v>0</v>
      </c>
      <c r="R15" s="7" t="n">
        <f aca="false">SUMIFS(Lançamentos!$D$5:$D$2004,Lançamentos!$B$5:$B$2004,R$4,Lançamentos!$G$5:$G$2004,$A15)</f>
        <v>0</v>
      </c>
    </row>
    <row r="16" customFormat="false" ht="15" hidden="false" customHeight="false" outlineLevel="0" collapsed="false">
      <c r="A16" s="34" t="n">
        <f aca="false">A15+7</f>
        <v>46370</v>
      </c>
      <c r="B16" s="34" t="n">
        <f aca="false">A16+6</f>
        <v>46376</v>
      </c>
      <c r="C16" s="7" t="n">
        <f aca="false">SUMIFS(Lançamentos!$D$5:$D$2004,Lançamentos!$F$5:$F$2004,"Ganho",Lançamentos!$G$5:$G$2004,$A16)</f>
        <v>0</v>
      </c>
      <c r="D16" s="7" t="n">
        <f aca="false">SUMIFS(Lançamentos!$D$5:$D$2004,Lançamentos!$F$5:$F$2004,"Gasto",Lançamentos!$G$5:$G$2004,$A16)</f>
        <v>0</v>
      </c>
      <c r="E16" s="35" t="n">
        <f aca="false">C16-D16</f>
        <v>0</v>
      </c>
      <c r="F16" s="7" t="n">
        <f aca="false">SUMIFS(Lançamentos!$D$5:$D$2004,Lançamentos!$B$5:$B$2004,F$4,Lançamentos!$G$5:$G$2004,$A16)</f>
        <v>0</v>
      </c>
      <c r="G16" s="7" t="n">
        <f aca="false">SUMIFS(Lançamentos!$D$5:$D$2004,Lançamentos!$B$5:$B$2004,G$4,Lançamentos!$G$5:$G$2004,$A16)</f>
        <v>0</v>
      </c>
      <c r="H16" s="7" t="n">
        <f aca="false">SUMIFS(Lançamentos!$D$5:$D$2004,Lançamentos!$B$5:$B$2004,H$4,Lançamentos!$G$5:$G$2004,$A16)</f>
        <v>0</v>
      </c>
      <c r="I16" s="7" t="n">
        <f aca="false">SUMIFS(Lançamentos!$D$5:$D$2004,Lançamentos!$B$5:$B$2004,I$4,Lançamentos!$G$5:$G$2004,$A16)</f>
        <v>0</v>
      </c>
      <c r="J16" s="7" t="n">
        <f aca="false">SUMIFS(Lançamentos!$D$5:$D$2004,Lançamentos!$B$5:$B$2004,J$4,Lançamentos!$G$5:$G$2004,$A16)</f>
        <v>0</v>
      </c>
      <c r="K16" s="7" t="n">
        <f aca="false">SUMIFS(Lançamentos!$D$5:$D$2004,Lançamentos!$B$5:$B$2004,K$4,Lançamentos!$G$5:$G$2004,$A16)</f>
        <v>0</v>
      </c>
      <c r="L16" s="7" t="n">
        <f aca="false">SUMIFS(Lançamentos!$D$5:$D$2004,Lançamentos!$B$5:$B$2004,L$4,Lançamentos!$G$5:$G$2004,$A16)</f>
        <v>0</v>
      </c>
      <c r="M16" s="7" t="n">
        <f aca="false">SUMIFS(Lançamentos!$D$5:$D$2004,Lançamentos!$B$5:$B$2004,M$4,Lançamentos!$G$5:$G$2004,$A16)</f>
        <v>0</v>
      </c>
      <c r="N16" s="7" t="n">
        <f aca="false">SUMIFS(Lançamentos!$D$5:$D$2004,Lançamentos!$B$5:$B$2004,N$4,Lançamentos!$G$5:$G$2004,$A16)</f>
        <v>0</v>
      </c>
      <c r="O16" s="7" t="n">
        <f aca="false">SUMIFS(Lançamentos!$D$5:$D$2004,Lançamentos!$B$5:$B$2004,O$4,Lançamentos!$G$5:$G$2004,$A16)</f>
        <v>0</v>
      </c>
      <c r="P16" s="7" t="n">
        <f aca="false">SUMIFS(Lançamentos!$D$5:$D$2004,Lançamentos!$B$5:$B$2004,P$4,Lançamentos!$G$5:$G$2004,$A16)</f>
        <v>0</v>
      </c>
      <c r="Q16" s="7" t="n">
        <f aca="false">SUMIFS(Lançamentos!$D$5:$D$2004,Lançamentos!$B$5:$B$2004,Q$4,Lançamentos!$G$5:$G$2004,$A16)</f>
        <v>0</v>
      </c>
      <c r="R16" s="7" t="n">
        <f aca="false">SUMIFS(Lançamentos!$D$5:$D$2004,Lançamentos!$B$5:$B$2004,R$4,Lançamentos!$G$5:$G$2004,$A16)</f>
        <v>0</v>
      </c>
    </row>
    <row r="17" customFormat="false" ht="15" hidden="false" customHeight="false" outlineLevel="0" collapsed="false">
      <c r="A17" s="34" t="n">
        <f aca="false">A16+7</f>
        <v>46377</v>
      </c>
      <c r="B17" s="34" t="n">
        <f aca="false">A17+6</f>
        <v>46383</v>
      </c>
      <c r="C17" s="7" t="n">
        <f aca="false">SUMIFS(Lançamentos!$D$5:$D$2004,Lançamentos!$F$5:$F$2004,"Ganho",Lançamentos!$G$5:$G$2004,$A17)</f>
        <v>0</v>
      </c>
      <c r="D17" s="7" t="n">
        <f aca="false">SUMIFS(Lançamentos!$D$5:$D$2004,Lançamentos!$F$5:$F$2004,"Gasto",Lançamentos!$G$5:$G$2004,$A17)</f>
        <v>0</v>
      </c>
      <c r="E17" s="35" t="n">
        <f aca="false">C17-D17</f>
        <v>0</v>
      </c>
      <c r="F17" s="7" t="n">
        <f aca="false">SUMIFS(Lançamentos!$D$5:$D$2004,Lançamentos!$B$5:$B$2004,F$4,Lançamentos!$G$5:$G$2004,$A17)</f>
        <v>0</v>
      </c>
      <c r="G17" s="7" t="n">
        <f aca="false">SUMIFS(Lançamentos!$D$5:$D$2004,Lançamentos!$B$5:$B$2004,G$4,Lançamentos!$G$5:$G$2004,$A17)</f>
        <v>0</v>
      </c>
      <c r="H17" s="7" t="n">
        <f aca="false">SUMIFS(Lançamentos!$D$5:$D$2004,Lançamentos!$B$5:$B$2004,H$4,Lançamentos!$G$5:$G$2004,$A17)</f>
        <v>0</v>
      </c>
      <c r="I17" s="7" t="n">
        <f aca="false">SUMIFS(Lançamentos!$D$5:$D$2004,Lançamentos!$B$5:$B$2004,I$4,Lançamentos!$G$5:$G$2004,$A17)</f>
        <v>0</v>
      </c>
      <c r="J17" s="7" t="n">
        <f aca="false">SUMIFS(Lançamentos!$D$5:$D$2004,Lançamentos!$B$5:$B$2004,J$4,Lançamentos!$G$5:$G$2004,$A17)</f>
        <v>0</v>
      </c>
      <c r="K17" s="7" t="n">
        <f aca="false">SUMIFS(Lançamentos!$D$5:$D$2004,Lançamentos!$B$5:$B$2004,K$4,Lançamentos!$G$5:$G$2004,$A17)</f>
        <v>0</v>
      </c>
      <c r="L17" s="7" t="n">
        <f aca="false">SUMIFS(Lançamentos!$D$5:$D$2004,Lançamentos!$B$5:$B$2004,L$4,Lançamentos!$G$5:$G$2004,$A17)</f>
        <v>0</v>
      </c>
      <c r="M17" s="7" t="n">
        <f aca="false">SUMIFS(Lançamentos!$D$5:$D$2004,Lançamentos!$B$5:$B$2004,M$4,Lançamentos!$G$5:$G$2004,$A17)</f>
        <v>0</v>
      </c>
      <c r="N17" s="7" t="n">
        <f aca="false">SUMIFS(Lançamentos!$D$5:$D$2004,Lançamentos!$B$5:$B$2004,N$4,Lançamentos!$G$5:$G$2004,$A17)</f>
        <v>0</v>
      </c>
      <c r="O17" s="7" t="n">
        <f aca="false">SUMIFS(Lançamentos!$D$5:$D$2004,Lançamentos!$B$5:$B$2004,O$4,Lançamentos!$G$5:$G$2004,$A17)</f>
        <v>0</v>
      </c>
      <c r="P17" s="7" t="n">
        <f aca="false">SUMIFS(Lançamentos!$D$5:$D$2004,Lançamentos!$B$5:$B$2004,P$4,Lançamentos!$G$5:$G$2004,$A17)</f>
        <v>0</v>
      </c>
      <c r="Q17" s="7" t="n">
        <f aca="false">SUMIFS(Lançamentos!$D$5:$D$2004,Lançamentos!$B$5:$B$2004,Q$4,Lançamentos!$G$5:$G$2004,$A17)</f>
        <v>0</v>
      </c>
      <c r="R17" s="7" t="n">
        <f aca="false">SUMIFS(Lançamentos!$D$5:$D$2004,Lançamentos!$B$5:$B$2004,R$4,Lançamentos!$G$5:$G$2004,$A17)</f>
        <v>0</v>
      </c>
    </row>
    <row r="18" customFormat="false" ht="15" hidden="false" customHeight="false" outlineLevel="0" collapsed="false">
      <c r="A18" s="34" t="n">
        <f aca="false">A17+7</f>
        <v>46384</v>
      </c>
      <c r="B18" s="34" t="n">
        <f aca="false">A18+6</f>
        <v>46390</v>
      </c>
      <c r="C18" s="7" t="n">
        <f aca="false">SUMIFS(Lançamentos!$D$5:$D$2004,Lançamentos!$F$5:$F$2004,"Ganho",Lançamentos!$G$5:$G$2004,$A18)</f>
        <v>0</v>
      </c>
      <c r="D18" s="7" t="n">
        <f aca="false">SUMIFS(Lançamentos!$D$5:$D$2004,Lançamentos!$F$5:$F$2004,"Gasto",Lançamentos!$G$5:$G$2004,$A18)</f>
        <v>0</v>
      </c>
      <c r="E18" s="35" t="n">
        <f aca="false">C18-D18</f>
        <v>0</v>
      </c>
      <c r="F18" s="7" t="n">
        <f aca="false">SUMIFS(Lançamentos!$D$5:$D$2004,Lançamentos!$B$5:$B$2004,F$4,Lançamentos!$G$5:$G$2004,$A18)</f>
        <v>0</v>
      </c>
      <c r="G18" s="7" t="n">
        <f aca="false">SUMIFS(Lançamentos!$D$5:$D$2004,Lançamentos!$B$5:$B$2004,G$4,Lançamentos!$G$5:$G$2004,$A18)</f>
        <v>0</v>
      </c>
      <c r="H18" s="7" t="n">
        <f aca="false">SUMIFS(Lançamentos!$D$5:$D$2004,Lançamentos!$B$5:$B$2004,H$4,Lançamentos!$G$5:$G$2004,$A18)</f>
        <v>0</v>
      </c>
      <c r="I18" s="7" t="n">
        <f aca="false">SUMIFS(Lançamentos!$D$5:$D$2004,Lançamentos!$B$5:$B$2004,I$4,Lançamentos!$G$5:$G$2004,$A18)</f>
        <v>0</v>
      </c>
      <c r="J18" s="7" t="n">
        <f aca="false">SUMIFS(Lançamentos!$D$5:$D$2004,Lançamentos!$B$5:$B$2004,J$4,Lançamentos!$G$5:$G$2004,$A18)</f>
        <v>0</v>
      </c>
      <c r="K18" s="7" t="n">
        <f aca="false">SUMIFS(Lançamentos!$D$5:$D$2004,Lançamentos!$B$5:$B$2004,K$4,Lançamentos!$G$5:$G$2004,$A18)</f>
        <v>0</v>
      </c>
      <c r="L18" s="7" t="n">
        <f aca="false">SUMIFS(Lançamentos!$D$5:$D$2004,Lançamentos!$B$5:$B$2004,L$4,Lançamentos!$G$5:$G$2004,$A18)</f>
        <v>0</v>
      </c>
      <c r="M18" s="7" t="n">
        <f aca="false">SUMIFS(Lançamentos!$D$5:$D$2004,Lançamentos!$B$5:$B$2004,M$4,Lançamentos!$G$5:$G$2004,$A18)</f>
        <v>0</v>
      </c>
      <c r="N18" s="7" t="n">
        <f aca="false">SUMIFS(Lançamentos!$D$5:$D$2004,Lançamentos!$B$5:$B$2004,N$4,Lançamentos!$G$5:$G$2004,$A18)</f>
        <v>0</v>
      </c>
      <c r="O18" s="7" t="n">
        <f aca="false">SUMIFS(Lançamentos!$D$5:$D$2004,Lançamentos!$B$5:$B$2004,O$4,Lançamentos!$G$5:$G$2004,$A18)</f>
        <v>0</v>
      </c>
      <c r="P18" s="7" t="n">
        <f aca="false">SUMIFS(Lançamentos!$D$5:$D$2004,Lançamentos!$B$5:$B$2004,P$4,Lançamentos!$G$5:$G$2004,$A18)</f>
        <v>0</v>
      </c>
      <c r="Q18" s="7" t="n">
        <f aca="false">SUMIFS(Lançamentos!$D$5:$D$2004,Lançamentos!$B$5:$B$2004,Q$4,Lançamentos!$G$5:$G$2004,$A18)</f>
        <v>0</v>
      </c>
      <c r="R18" s="7" t="n">
        <f aca="false">SUMIFS(Lançamentos!$D$5:$D$2004,Lançamentos!$B$5:$B$2004,R$4,Lançamentos!$G$5:$G$2004,$A18)</f>
        <v>0</v>
      </c>
    </row>
    <row r="19" customFormat="false" ht="15" hidden="false" customHeight="false" outlineLevel="0" collapsed="false">
      <c r="A19" s="34" t="n">
        <f aca="false">A18+7</f>
        <v>46391</v>
      </c>
      <c r="B19" s="34" t="n">
        <f aca="false">A19+6</f>
        <v>46397</v>
      </c>
      <c r="C19" s="7" t="n">
        <f aca="false">SUMIFS(Lançamentos!$D$5:$D$2004,Lançamentos!$F$5:$F$2004,"Ganho",Lançamentos!$G$5:$G$2004,$A19)</f>
        <v>0</v>
      </c>
      <c r="D19" s="7" t="n">
        <f aca="false">SUMIFS(Lançamentos!$D$5:$D$2004,Lançamentos!$F$5:$F$2004,"Gasto",Lançamentos!$G$5:$G$2004,$A19)</f>
        <v>0</v>
      </c>
      <c r="E19" s="35" t="n">
        <f aca="false">C19-D19</f>
        <v>0</v>
      </c>
      <c r="F19" s="7" t="n">
        <f aca="false">SUMIFS(Lançamentos!$D$5:$D$2004,Lançamentos!$B$5:$B$2004,F$4,Lançamentos!$G$5:$G$2004,$A19)</f>
        <v>0</v>
      </c>
      <c r="G19" s="7" t="n">
        <f aca="false">SUMIFS(Lançamentos!$D$5:$D$2004,Lançamentos!$B$5:$B$2004,G$4,Lançamentos!$G$5:$G$2004,$A19)</f>
        <v>0</v>
      </c>
      <c r="H19" s="7" t="n">
        <f aca="false">SUMIFS(Lançamentos!$D$5:$D$2004,Lançamentos!$B$5:$B$2004,H$4,Lançamentos!$G$5:$G$2004,$A19)</f>
        <v>0</v>
      </c>
      <c r="I19" s="7" t="n">
        <f aca="false">SUMIFS(Lançamentos!$D$5:$D$2004,Lançamentos!$B$5:$B$2004,I$4,Lançamentos!$G$5:$G$2004,$A19)</f>
        <v>0</v>
      </c>
      <c r="J19" s="7" t="n">
        <f aca="false">SUMIFS(Lançamentos!$D$5:$D$2004,Lançamentos!$B$5:$B$2004,J$4,Lançamentos!$G$5:$G$2004,$A19)</f>
        <v>0</v>
      </c>
      <c r="K19" s="7" t="n">
        <f aca="false">SUMIFS(Lançamentos!$D$5:$D$2004,Lançamentos!$B$5:$B$2004,K$4,Lançamentos!$G$5:$G$2004,$A19)</f>
        <v>0</v>
      </c>
      <c r="L19" s="7" t="n">
        <f aca="false">SUMIFS(Lançamentos!$D$5:$D$2004,Lançamentos!$B$5:$B$2004,L$4,Lançamentos!$G$5:$G$2004,$A19)</f>
        <v>0</v>
      </c>
      <c r="M19" s="7" t="n">
        <f aca="false">SUMIFS(Lançamentos!$D$5:$D$2004,Lançamentos!$B$5:$B$2004,M$4,Lançamentos!$G$5:$G$2004,$A19)</f>
        <v>0</v>
      </c>
      <c r="N19" s="7" t="n">
        <f aca="false">SUMIFS(Lançamentos!$D$5:$D$2004,Lançamentos!$B$5:$B$2004,N$4,Lançamentos!$G$5:$G$2004,$A19)</f>
        <v>0</v>
      </c>
      <c r="O19" s="7" t="n">
        <f aca="false">SUMIFS(Lançamentos!$D$5:$D$2004,Lançamentos!$B$5:$B$2004,O$4,Lançamentos!$G$5:$G$2004,$A19)</f>
        <v>0</v>
      </c>
      <c r="P19" s="7" t="n">
        <f aca="false">SUMIFS(Lançamentos!$D$5:$D$2004,Lançamentos!$B$5:$B$2004,P$4,Lançamentos!$G$5:$G$2004,$A19)</f>
        <v>0</v>
      </c>
      <c r="Q19" s="7" t="n">
        <f aca="false">SUMIFS(Lançamentos!$D$5:$D$2004,Lançamentos!$B$5:$B$2004,Q$4,Lançamentos!$G$5:$G$2004,$A19)</f>
        <v>0</v>
      </c>
      <c r="R19" s="7" t="n">
        <f aca="false">SUMIFS(Lançamentos!$D$5:$D$2004,Lançamentos!$B$5:$B$2004,R$4,Lançamentos!$G$5:$G$2004,$A19)</f>
        <v>0</v>
      </c>
    </row>
    <row r="20" customFormat="false" ht="15" hidden="false" customHeight="false" outlineLevel="0" collapsed="false">
      <c r="A20" s="34" t="n">
        <f aca="false">A19+7</f>
        <v>46398</v>
      </c>
      <c r="B20" s="34" t="n">
        <f aca="false">A20+6</f>
        <v>46404</v>
      </c>
      <c r="C20" s="7" t="n">
        <f aca="false">SUMIFS(Lançamentos!$D$5:$D$2004,Lançamentos!$F$5:$F$2004,"Ganho",Lançamentos!$G$5:$G$2004,$A20)</f>
        <v>0</v>
      </c>
      <c r="D20" s="7" t="n">
        <f aca="false">SUMIFS(Lançamentos!$D$5:$D$2004,Lançamentos!$F$5:$F$2004,"Gasto",Lançamentos!$G$5:$G$2004,$A20)</f>
        <v>0</v>
      </c>
      <c r="E20" s="35" t="n">
        <f aca="false">C20-D20</f>
        <v>0</v>
      </c>
      <c r="F20" s="7" t="n">
        <f aca="false">SUMIFS(Lançamentos!$D$5:$D$2004,Lançamentos!$B$5:$B$2004,F$4,Lançamentos!$G$5:$G$2004,$A20)</f>
        <v>0</v>
      </c>
      <c r="G20" s="7" t="n">
        <f aca="false">SUMIFS(Lançamentos!$D$5:$D$2004,Lançamentos!$B$5:$B$2004,G$4,Lançamentos!$G$5:$G$2004,$A20)</f>
        <v>0</v>
      </c>
      <c r="H20" s="7" t="n">
        <f aca="false">SUMIFS(Lançamentos!$D$5:$D$2004,Lançamentos!$B$5:$B$2004,H$4,Lançamentos!$G$5:$G$2004,$A20)</f>
        <v>0</v>
      </c>
      <c r="I20" s="7" t="n">
        <f aca="false">SUMIFS(Lançamentos!$D$5:$D$2004,Lançamentos!$B$5:$B$2004,I$4,Lançamentos!$G$5:$G$2004,$A20)</f>
        <v>0</v>
      </c>
      <c r="J20" s="7" t="n">
        <f aca="false">SUMIFS(Lançamentos!$D$5:$D$2004,Lançamentos!$B$5:$B$2004,J$4,Lançamentos!$G$5:$G$2004,$A20)</f>
        <v>0</v>
      </c>
      <c r="K20" s="7" t="n">
        <f aca="false">SUMIFS(Lançamentos!$D$5:$D$2004,Lançamentos!$B$5:$B$2004,K$4,Lançamentos!$G$5:$G$2004,$A20)</f>
        <v>0</v>
      </c>
      <c r="L20" s="7" t="n">
        <f aca="false">SUMIFS(Lançamentos!$D$5:$D$2004,Lançamentos!$B$5:$B$2004,L$4,Lançamentos!$G$5:$G$2004,$A20)</f>
        <v>0</v>
      </c>
      <c r="M20" s="7" t="n">
        <f aca="false">SUMIFS(Lançamentos!$D$5:$D$2004,Lançamentos!$B$5:$B$2004,M$4,Lançamentos!$G$5:$G$2004,$A20)</f>
        <v>0</v>
      </c>
      <c r="N20" s="7" t="n">
        <f aca="false">SUMIFS(Lançamentos!$D$5:$D$2004,Lançamentos!$B$5:$B$2004,N$4,Lançamentos!$G$5:$G$2004,$A20)</f>
        <v>0</v>
      </c>
      <c r="O20" s="7" t="n">
        <f aca="false">SUMIFS(Lançamentos!$D$5:$D$2004,Lançamentos!$B$5:$B$2004,O$4,Lançamentos!$G$5:$G$2004,$A20)</f>
        <v>0</v>
      </c>
      <c r="P20" s="7" t="n">
        <f aca="false">SUMIFS(Lançamentos!$D$5:$D$2004,Lançamentos!$B$5:$B$2004,P$4,Lançamentos!$G$5:$G$2004,$A20)</f>
        <v>0</v>
      </c>
      <c r="Q20" s="7" t="n">
        <f aca="false">SUMIFS(Lançamentos!$D$5:$D$2004,Lançamentos!$B$5:$B$2004,Q$4,Lançamentos!$G$5:$G$2004,$A20)</f>
        <v>0</v>
      </c>
      <c r="R20" s="7" t="n">
        <f aca="false">SUMIFS(Lançamentos!$D$5:$D$2004,Lançamentos!$B$5:$B$2004,R$4,Lançamentos!$G$5:$G$2004,$A20)</f>
        <v>0</v>
      </c>
    </row>
    <row r="21" customFormat="false" ht="15" hidden="false" customHeight="false" outlineLevel="0" collapsed="false">
      <c r="A21" s="34" t="n">
        <f aca="false">A20+7</f>
        <v>46405</v>
      </c>
      <c r="B21" s="34" t="n">
        <f aca="false">A21+6</f>
        <v>46411</v>
      </c>
      <c r="C21" s="7" t="n">
        <f aca="false">SUMIFS(Lançamentos!$D$5:$D$2004,Lançamentos!$F$5:$F$2004,"Ganho",Lançamentos!$G$5:$G$2004,$A21)</f>
        <v>0</v>
      </c>
      <c r="D21" s="7" t="n">
        <f aca="false">SUMIFS(Lançamentos!$D$5:$D$2004,Lançamentos!$F$5:$F$2004,"Gasto",Lançamentos!$G$5:$G$2004,$A21)</f>
        <v>0</v>
      </c>
      <c r="E21" s="35" t="n">
        <f aca="false">C21-D21</f>
        <v>0</v>
      </c>
      <c r="F21" s="7" t="n">
        <f aca="false">SUMIFS(Lançamentos!$D$5:$D$2004,Lançamentos!$B$5:$B$2004,F$4,Lançamentos!$G$5:$G$2004,$A21)</f>
        <v>0</v>
      </c>
      <c r="G21" s="7" t="n">
        <f aca="false">SUMIFS(Lançamentos!$D$5:$D$2004,Lançamentos!$B$5:$B$2004,G$4,Lançamentos!$G$5:$G$2004,$A21)</f>
        <v>0</v>
      </c>
      <c r="H21" s="7" t="n">
        <f aca="false">SUMIFS(Lançamentos!$D$5:$D$2004,Lançamentos!$B$5:$B$2004,H$4,Lançamentos!$G$5:$G$2004,$A21)</f>
        <v>0</v>
      </c>
      <c r="I21" s="7" t="n">
        <f aca="false">SUMIFS(Lançamentos!$D$5:$D$2004,Lançamentos!$B$5:$B$2004,I$4,Lançamentos!$G$5:$G$2004,$A21)</f>
        <v>0</v>
      </c>
      <c r="J21" s="7" t="n">
        <f aca="false">SUMIFS(Lançamentos!$D$5:$D$2004,Lançamentos!$B$5:$B$2004,J$4,Lançamentos!$G$5:$G$2004,$A21)</f>
        <v>0</v>
      </c>
      <c r="K21" s="7" t="n">
        <f aca="false">SUMIFS(Lançamentos!$D$5:$D$2004,Lançamentos!$B$5:$B$2004,K$4,Lançamentos!$G$5:$G$2004,$A21)</f>
        <v>0</v>
      </c>
      <c r="L21" s="7" t="n">
        <f aca="false">SUMIFS(Lançamentos!$D$5:$D$2004,Lançamentos!$B$5:$B$2004,L$4,Lançamentos!$G$5:$G$2004,$A21)</f>
        <v>0</v>
      </c>
      <c r="M21" s="7" t="n">
        <f aca="false">SUMIFS(Lançamentos!$D$5:$D$2004,Lançamentos!$B$5:$B$2004,M$4,Lançamentos!$G$5:$G$2004,$A21)</f>
        <v>0</v>
      </c>
      <c r="N21" s="7" t="n">
        <f aca="false">SUMIFS(Lançamentos!$D$5:$D$2004,Lançamentos!$B$5:$B$2004,N$4,Lançamentos!$G$5:$G$2004,$A21)</f>
        <v>0</v>
      </c>
      <c r="O21" s="7" t="n">
        <f aca="false">SUMIFS(Lançamentos!$D$5:$D$2004,Lançamentos!$B$5:$B$2004,O$4,Lançamentos!$G$5:$G$2004,$A21)</f>
        <v>0</v>
      </c>
      <c r="P21" s="7" t="n">
        <f aca="false">SUMIFS(Lançamentos!$D$5:$D$2004,Lançamentos!$B$5:$B$2004,P$4,Lançamentos!$G$5:$G$2004,$A21)</f>
        <v>0</v>
      </c>
      <c r="Q21" s="7" t="n">
        <f aca="false">SUMIFS(Lançamentos!$D$5:$D$2004,Lançamentos!$B$5:$B$2004,Q$4,Lançamentos!$G$5:$G$2004,$A21)</f>
        <v>0</v>
      </c>
      <c r="R21" s="7" t="n">
        <f aca="false">SUMIFS(Lançamentos!$D$5:$D$2004,Lançamentos!$B$5:$B$2004,R$4,Lançamentos!$G$5:$G$2004,$A21)</f>
        <v>0</v>
      </c>
    </row>
    <row r="22" customFormat="false" ht="15" hidden="false" customHeight="false" outlineLevel="0" collapsed="false">
      <c r="A22" s="34" t="n">
        <f aca="false">A21+7</f>
        <v>46412</v>
      </c>
      <c r="B22" s="34" t="n">
        <f aca="false">A22+6</f>
        <v>46418</v>
      </c>
      <c r="C22" s="7" t="n">
        <f aca="false">SUMIFS(Lançamentos!$D$5:$D$2004,Lançamentos!$F$5:$F$2004,"Ganho",Lançamentos!$G$5:$G$2004,$A22)</f>
        <v>0</v>
      </c>
      <c r="D22" s="7" t="n">
        <f aca="false">SUMIFS(Lançamentos!$D$5:$D$2004,Lançamentos!$F$5:$F$2004,"Gasto",Lançamentos!$G$5:$G$2004,$A22)</f>
        <v>0</v>
      </c>
      <c r="E22" s="35" t="n">
        <f aca="false">C22-D22</f>
        <v>0</v>
      </c>
      <c r="F22" s="7" t="n">
        <f aca="false">SUMIFS(Lançamentos!$D$5:$D$2004,Lançamentos!$B$5:$B$2004,F$4,Lançamentos!$G$5:$G$2004,$A22)</f>
        <v>0</v>
      </c>
      <c r="G22" s="7" t="n">
        <f aca="false">SUMIFS(Lançamentos!$D$5:$D$2004,Lançamentos!$B$5:$B$2004,G$4,Lançamentos!$G$5:$G$2004,$A22)</f>
        <v>0</v>
      </c>
      <c r="H22" s="7" t="n">
        <f aca="false">SUMIFS(Lançamentos!$D$5:$D$2004,Lançamentos!$B$5:$B$2004,H$4,Lançamentos!$G$5:$G$2004,$A22)</f>
        <v>0</v>
      </c>
      <c r="I22" s="7" t="n">
        <f aca="false">SUMIFS(Lançamentos!$D$5:$D$2004,Lançamentos!$B$5:$B$2004,I$4,Lançamentos!$G$5:$G$2004,$A22)</f>
        <v>0</v>
      </c>
      <c r="J22" s="7" t="n">
        <f aca="false">SUMIFS(Lançamentos!$D$5:$D$2004,Lançamentos!$B$5:$B$2004,J$4,Lançamentos!$G$5:$G$2004,$A22)</f>
        <v>0</v>
      </c>
      <c r="K22" s="7" t="n">
        <f aca="false">SUMIFS(Lançamentos!$D$5:$D$2004,Lançamentos!$B$5:$B$2004,K$4,Lançamentos!$G$5:$G$2004,$A22)</f>
        <v>0</v>
      </c>
      <c r="L22" s="7" t="n">
        <f aca="false">SUMIFS(Lançamentos!$D$5:$D$2004,Lançamentos!$B$5:$B$2004,L$4,Lançamentos!$G$5:$G$2004,$A22)</f>
        <v>0</v>
      </c>
      <c r="M22" s="7" t="n">
        <f aca="false">SUMIFS(Lançamentos!$D$5:$D$2004,Lançamentos!$B$5:$B$2004,M$4,Lançamentos!$G$5:$G$2004,$A22)</f>
        <v>0</v>
      </c>
      <c r="N22" s="7" t="n">
        <f aca="false">SUMIFS(Lançamentos!$D$5:$D$2004,Lançamentos!$B$5:$B$2004,N$4,Lançamentos!$G$5:$G$2004,$A22)</f>
        <v>0</v>
      </c>
      <c r="O22" s="7" t="n">
        <f aca="false">SUMIFS(Lançamentos!$D$5:$D$2004,Lançamentos!$B$5:$B$2004,O$4,Lançamentos!$G$5:$G$2004,$A22)</f>
        <v>0</v>
      </c>
      <c r="P22" s="7" t="n">
        <f aca="false">SUMIFS(Lançamentos!$D$5:$D$2004,Lançamentos!$B$5:$B$2004,P$4,Lançamentos!$G$5:$G$2004,$A22)</f>
        <v>0</v>
      </c>
      <c r="Q22" s="7" t="n">
        <f aca="false">SUMIFS(Lançamentos!$D$5:$D$2004,Lançamentos!$B$5:$B$2004,Q$4,Lançamentos!$G$5:$G$2004,$A22)</f>
        <v>0</v>
      </c>
      <c r="R22" s="7" t="n">
        <f aca="false">SUMIFS(Lançamentos!$D$5:$D$2004,Lançamentos!$B$5:$B$2004,R$4,Lançamentos!$G$5:$G$2004,$A22)</f>
        <v>0</v>
      </c>
    </row>
    <row r="23" customFormat="false" ht="15" hidden="false" customHeight="false" outlineLevel="0" collapsed="false">
      <c r="A23" s="34" t="n">
        <f aca="false">A22+7</f>
        <v>46419</v>
      </c>
      <c r="B23" s="34" t="n">
        <f aca="false">A23+6</f>
        <v>46425</v>
      </c>
      <c r="C23" s="7" t="n">
        <f aca="false">SUMIFS(Lançamentos!$D$5:$D$2004,Lançamentos!$F$5:$F$2004,"Ganho",Lançamentos!$G$5:$G$2004,$A23)</f>
        <v>0</v>
      </c>
      <c r="D23" s="7" t="n">
        <f aca="false">SUMIFS(Lançamentos!$D$5:$D$2004,Lançamentos!$F$5:$F$2004,"Gasto",Lançamentos!$G$5:$G$2004,$A23)</f>
        <v>0</v>
      </c>
      <c r="E23" s="35" t="n">
        <f aca="false">C23-D23</f>
        <v>0</v>
      </c>
      <c r="F23" s="7" t="n">
        <f aca="false">SUMIFS(Lançamentos!$D$5:$D$2004,Lançamentos!$B$5:$B$2004,F$4,Lançamentos!$G$5:$G$2004,$A23)</f>
        <v>0</v>
      </c>
      <c r="G23" s="7" t="n">
        <f aca="false">SUMIFS(Lançamentos!$D$5:$D$2004,Lançamentos!$B$5:$B$2004,G$4,Lançamentos!$G$5:$G$2004,$A23)</f>
        <v>0</v>
      </c>
      <c r="H23" s="7" t="n">
        <f aca="false">SUMIFS(Lançamentos!$D$5:$D$2004,Lançamentos!$B$5:$B$2004,H$4,Lançamentos!$G$5:$G$2004,$A23)</f>
        <v>0</v>
      </c>
      <c r="I23" s="7" t="n">
        <f aca="false">SUMIFS(Lançamentos!$D$5:$D$2004,Lançamentos!$B$5:$B$2004,I$4,Lançamentos!$G$5:$G$2004,$A23)</f>
        <v>0</v>
      </c>
      <c r="J23" s="7" t="n">
        <f aca="false">SUMIFS(Lançamentos!$D$5:$D$2004,Lançamentos!$B$5:$B$2004,J$4,Lançamentos!$G$5:$G$2004,$A23)</f>
        <v>0</v>
      </c>
      <c r="K23" s="7" t="n">
        <f aca="false">SUMIFS(Lançamentos!$D$5:$D$2004,Lançamentos!$B$5:$B$2004,K$4,Lançamentos!$G$5:$G$2004,$A23)</f>
        <v>0</v>
      </c>
      <c r="L23" s="7" t="n">
        <f aca="false">SUMIFS(Lançamentos!$D$5:$D$2004,Lançamentos!$B$5:$B$2004,L$4,Lançamentos!$G$5:$G$2004,$A23)</f>
        <v>0</v>
      </c>
      <c r="M23" s="7" t="n">
        <f aca="false">SUMIFS(Lançamentos!$D$5:$D$2004,Lançamentos!$B$5:$B$2004,M$4,Lançamentos!$G$5:$G$2004,$A23)</f>
        <v>0</v>
      </c>
      <c r="N23" s="7" t="n">
        <f aca="false">SUMIFS(Lançamentos!$D$5:$D$2004,Lançamentos!$B$5:$B$2004,N$4,Lançamentos!$G$5:$G$2004,$A23)</f>
        <v>0</v>
      </c>
      <c r="O23" s="7" t="n">
        <f aca="false">SUMIFS(Lançamentos!$D$5:$D$2004,Lançamentos!$B$5:$B$2004,O$4,Lançamentos!$G$5:$G$2004,$A23)</f>
        <v>0</v>
      </c>
      <c r="P23" s="7" t="n">
        <f aca="false">SUMIFS(Lançamentos!$D$5:$D$2004,Lançamentos!$B$5:$B$2004,P$4,Lançamentos!$G$5:$G$2004,$A23)</f>
        <v>0</v>
      </c>
      <c r="Q23" s="7" t="n">
        <f aca="false">SUMIFS(Lançamentos!$D$5:$D$2004,Lançamentos!$B$5:$B$2004,Q$4,Lançamentos!$G$5:$G$2004,$A23)</f>
        <v>0</v>
      </c>
      <c r="R23" s="7" t="n">
        <f aca="false">SUMIFS(Lançamentos!$D$5:$D$2004,Lançamentos!$B$5:$B$2004,R$4,Lançamentos!$G$5:$G$2004,$A23)</f>
        <v>0</v>
      </c>
    </row>
    <row r="24" customFormat="false" ht="15" hidden="false" customHeight="false" outlineLevel="0" collapsed="false">
      <c r="A24" s="34" t="n">
        <f aca="false">A23+7</f>
        <v>46426</v>
      </c>
      <c r="B24" s="34" t="n">
        <f aca="false">A24+6</f>
        <v>46432</v>
      </c>
      <c r="C24" s="7" t="n">
        <f aca="false">SUMIFS(Lançamentos!$D$5:$D$2004,Lançamentos!$F$5:$F$2004,"Ganho",Lançamentos!$G$5:$G$2004,$A24)</f>
        <v>0</v>
      </c>
      <c r="D24" s="7" t="n">
        <f aca="false">SUMIFS(Lançamentos!$D$5:$D$2004,Lançamentos!$F$5:$F$2004,"Gasto",Lançamentos!$G$5:$G$2004,$A24)</f>
        <v>0</v>
      </c>
      <c r="E24" s="35" t="n">
        <f aca="false">C24-D24</f>
        <v>0</v>
      </c>
      <c r="F24" s="7" t="n">
        <f aca="false">SUMIFS(Lançamentos!$D$5:$D$2004,Lançamentos!$B$5:$B$2004,F$4,Lançamentos!$G$5:$G$2004,$A24)</f>
        <v>0</v>
      </c>
      <c r="G24" s="7" t="n">
        <f aca="false">SUMIFS(Lançamentos!$D$5:$D$2004,Lançamentos!$B$5:$B$2004,G$4,Lançamentos!$G$5:$G$2004,$A24)</f>
        <v>0</v>
      </c>
      <c r="H24" s="7" t="n">
        <f aca="false">SUMIFS(Lançamentos!$D$5:$D$2004,Lançamentos!$B$5:$B$2004,H$4,Lançamentos!$G$5:$G$2004,$A24)</f>
        <v>0</v>
      </c>
      <c r="I24" s="7" t="n">
        <f aca="false">SUMIFS(Lançamentos!$D$5:$D$2004,Lançamentos!$B$5:$B$2004,I$4,Lançamentos!$G$5:$G$2004,$A24)</f>
        <v>0</v>
      </c>
      <c r="J24" s="7" t="n">
        <f aca="false">SUMIFS(Lançamentos!$D$5:$D$2004,Lançamentos!$B$5:$B$2004,J$4,Lançamentos!$G$5:$G$2004,$A24)</f>
        <v>0</v>
      </c>
      <c r="K24" s="7" t="n">
        <f aca="false">SUMIFS(Lançamentos!$D$5:$D$2004,Lançamentos!$B$5:$B$2004,K$4,Lançamentos!$G$5:$G$2004,$A24)</f>
        <v>0</v>
      </c>
      <c r="L24" s="7" t="n">
        <f aca="false">SUMIFS(Lançamentos!$D$5:$D$2004,Lançamentos!$B$5:$B$2004,L$4,Lançamentos!$G$5:$G$2004,$A24)</f>
        <v>0</v>
      </c>
      <c r="M24" s="7" t="n">
        <f aca="false">SUMIFS(Lançamentos!$D$5:$D$2004,Lançamentos!$B$5:$B$2004,M$4,Lançamentos!$G$5:$G$2004,$A24)</f>
        <v>0</v>
      </c>
      <c r="N24" s="7" t="n">
        <f aca="false">SUMIFS(Lançamentos!$D$5:$D$2004,Lançamentos!$B$5:$B$2004,N$4,Lançamentos!$G$5:$G$2004,$A24)</f>
        <v>0</v>
      </c>
      <c r="O24" s="7" t="n">
        <f aca="false">SUMIFS(Lançamentos!$D$5:$D$2004,Lançamentos!$B$5:$B$2004,O$4,Lançamentos!$G$5:$G$2004,$A24)</f>
        <v>0</v>
      </c>
      <c r="P24" s="7" t="n">
        <f aca="false">SUMIFS(Lançamentos!$D$5:$D$2004,Lançamentos!$B$5:$B$2004,P$4,Lançamentos!$G$5:$G$2004,$A24)</f>
        <v>0</v>
      </c>
      <c r="Q24" s="7" t="n">
        <f aca="false">SUMIFS(Lançamentos!$D$5:$D$2004,Lançamentos!$B$5:$B$2004,Q$4,Lançamentos!$G$5:$G$2004,$A24)</f>
        <v>0</v>
      </c>
      <c r="R24" s="7" t="n">
        <f aca="false">SUMIFS(Lançamentos!$D$5:$D$2004,Lançamentos!$B$5:$B$2004,R$4,Lançamentos!$G$5:$G$2004,$A24)</f>
        <v>0</v>
      </c>
    </row>
    <row r="25" customFormat="false" ht="15" hidden="false" customHeight="false" outlineLevel="0" collapsed="false">
      <c r="A25" s="34" t="n">
        <f aca="false">A24+7</f>
        <v>46433</v>
      </c>
      <c r="B25" s="34" t="n">
        <f aca="false">A25+6</f>
        <v>46439</v>
      </c>
      <c r="C25" s="7" t="n">
        <f aca="false">SUMIFS(Lançamentos!$D$5:$D$2004,Lançamentos!$F$5:$F$2004,"Ganho",Lançamentos!$G$5:$G$2004,$A25)</f>
        <v>0</v>
      </c>
      <c r="D25" s="7" t="n">
        <f aca="false">SUMIFS(Lançamentos!$D$5:$D$2004,Lançamentos!$F$5:$F$2004,"Gasto",Lançamentos!$G$5:$G$2004,$A25)</f>
        <v>0</v>
      </c>
      <c r="E25" s="35" t="n">
        <f aca="false">C25-D25</f>
        <v>0</v>
      </c>
      <c r="F25" s="7" t="n">
        <f aca="false">SUMIFS(Lançamentos!$D$5:$D$2004,Lançamentos!$B$5:$B$2004,F$4,Lançamentos!$G$5:$G$2004,$A25)</f>
        <v>0</v>
      </c>
      <c r="G25" s="7" t="n">
        <f aca="false">SUMIFS(Lançamentos!$D$5:$D$2004,Lançamentos!$B$5:$B$2004,G$4,Lançamentos!$G$5:$G$2004,$A25)</f>
        <v>0</v>
      </c>
      <c r="H25" s="7" t="n">
        <f aca="false">SUMIFS(Lançamentos!$D$5:$D$2004,Lançamentos!$B$5:$B$2004,H$4,Lançamentos!$G$5:$G$2004,$A25)</f>
        <v>0</v>
      </c>
      <c r="I25" s="7" t="n">
        <f aca="false">SUMIFS(Lançamentos!$D$5:$D$2004,Lançamentos!$B$5:$B$2004,I$4,Lançamentos!$G$5:$G$2004,$A25)</f>
        <v>0</v>
      </c>
      <c r="J25" s="7" t="n">
        <f aca="false">SUMIFS(Lançamentos!$D$5:$D$2004,Lançamentos!$B$5:$B$2004,J$4,Lançamentos!$G$5:$G$2004,$A25)</f>
        <v>0</v>
      </c>
      <c r="K25" s="7" t="n">
        <f aca="false">SUMIFS(Lançamentos!$D$5:$D$2004,Lançamentos!$B$5:$B$2004,K$4,Lançamentos!$G$5:$G$2004,$A25)</f>
        <v>0</v>
      </c>
      <c r="L25" s="7" t="n">
        <f aca="false">SUMIFS(Lançamentos!$D$5:$D$2004,Lançamentos!$B$5:$B$2004,L$4,Lançamentos!$G$5:$G$2004,$A25)</f>
        <v>0</v>
      </c>
      <c r="M25" s="7" t="n">
        <f aca="false">SUMIFS(Lançamentos!$D$5:$D$2004,Lançamentos!$B$5:$B$2004,M$4,Lançamentos!$G$5:$G$2004,$A25)</f>
        <v>0</v>
      </c>
      <c r="N25" s="7" t="n">
        <f aca="false">SUMIFS(Lançamentos!$D$5:$D$2004,Lançamentos!$B$5:$B$2004,N$4,Lançamentos!$G$5:$G$2004,$A25)</f>
        <v>0</v>
      </c>
      <c r="O25" s="7" t="n">
        <f aca="false">SUMIFS(Lançamentos!$D$5:$D$2004,Lançamentos!$B$5:$B$2004,O$4,Lançamentos!$G$5:$G$2004,$A25)</f>
        <v>0</v>
      </c>
      <c r="P25" s="7" t="n">
        <f aca="false">SUMIFS(Lançamentos!$D$5:$D$2004,Lançamentos!$B$5:$B$2004,P$4,Lançamentos!$G$5:$G$2004,$A25)</f>
        <v>0</v>
      </c>
      <c r="Q25" s="7" t="n">
        <f aca="false">SUMIFS(Lançamentos!$D$5:$D$2004,Lançamentos!$B$5:$B$2004,Q$4,Lançamentos!$G$5:$G$2004,$A25)</f>
        <v>0</v>
      </c>
      <c r="R25" s="7" t="n">
        <f aca="false">SUMIFS(Lançamentos!$D$5:$D$2004,Lançamentos!$B$5:$B$2004,R$4,Lançamentos!$G$5:$G$2004,$A25)</f>
        <v>0</v>
      </c>
    </row>
    <row r="26" customFormat="false" ht="15" hidden="false" customHeight="false" outlineLevel="0" collapsed="false">
      <c r="A26" s="34" t="n">
        <f aca="false">A25+7</f>
        <v>46440</v>
      </c>
      <c r="B26" s="34" t="n">
        <f aca="false">A26+6</f>
        <v>46446</v>
      </c>
      <c r="C26" s="7" t="n">
        <f aca="false">SUMIFS(Lançamentos!$D$5:$D$2004,Lançamentos!$F$5:$F$2004,"Ganho",Lançamentos!$G$5:$G$2004,$A26)</f>
        <v>0</v>
      </c>
      <c r="D26" s="7" t="n">
        <f aca="false">SUMIFS(Lançamentos!$D$5:$D$2004,Lançamentos!$F$5:$F$2004,"Gasto",Lançamentos!$G$5:$G$2004,$A26)</f>
        <v>0</v>
      </c>
      <c r="E26" s="35" t="n">
        <f aca="false">C26-D26</f>
        <v>0</v>
      </c>
      <c r="F26" s="7" t="n">
        <f aca="false">SUMIFS(Lançamentos!$D$5:$D$2004,Lançamentos!$B$5:$B$2004,F$4,Lançamentos!$G$5:$G$2004,$A26)</f>
        <v>0</v>
      </c>
      <c r="G26" s="7" t="n">
        <f aca="false">SUMIFS(Lançamentos!$D$5:$D$2004,Lançamentos!$B$5:$B$2004,G$4,Lançamentos!$G$5:$G$2004,$A26)</f>
        <v>0</v>
      </c>
      <c r="H26" s="7" t="n">
        <f aca="false">SUMIFS(Lançamentos!$D$5:$D$2004,Lançamentos!$B$5:$B$2004,H$4,Lançamentos!$G$5:$G$2004,$A26)</f>
        <v>0</v>
      </c>
      <c r="I26" s="7" t="n">
        <f aca="false">SUMIFS(Lançamentos!$D$5:$D$2004,Lançamentos!$B$5:$B$2004,I$4,Lançamentos!$G$5:$G$2004,$A26)</f>
        <v>0</v>
      </c>
      <c r="J26" s="7" t="n">
        <f aca="false">SUMIFS(Lançamentos!$D$5:$D$2004,Lançamentos!$B$5:$B$2004,J$4,Lançamentos!$G$5:$G$2004,$A26)</f>
        <v>0</v>
      </c>
      <c r="K26" s="7" t="n">
        <f aca="false">SUMIFS(Lançamentos!$D$5:$D$2004,Lançamentos!$B$5:$B$2004,K$4,Lançamentos!$G$5:$G$2004,$A26)</f>
        <v>0</v>
      </c>
      <c r="L26" s="7" t="n">
        <f aca="false">SUMIFS(Lançamentos!$D$5:$D$2004,Lançamentos!$B$5:$B$2004,L$4,Lançamentos!$G$5:$G$2004,$A26)</f>
        <v>0</v>
      </c>
      <c r="M26" s="7" t="n">
        <f aca="false">SUMIFS(Lançamentos!$D$5:$D$2004,Lançamentos!$B$5:$B$2004,M$4,Lançamentos!$G$5:$G$2004,$A26)</f>
        <v>0</v>
      </c>
      <c r="N26" s="7" t="n">
        <f aca="false">SUMIFS(Lançamentos!$D$5:$D$2004,Lançamentos!$B$5:$B$2004,N$4,Lançamentos!$G$5:$G$2004,$A26)</f>
        <v>0</v>
      </c>
      <c r="O26" s="7" t="n">
        <f aca="false">SUMIFS(Lançamentos!$D$5:$D$2004,Lançamentos!$B$5:$B$2004,O$4,Lançamentos!$G$5:$G$2004,$A26)</f>
        <v>0</v>
      </c>
      <c r="P26" s="7" t="n">
        <f aca="false">SUMIFS(Lançamentos!$D$5:$D$2004,Lançamentos!$B$5:$B$2004,P$4,Lançamentos!$G$5:$G$2004,$A26)</f>
        <v>0</v>
      </c>
      <c r="Q26" s="7" t="n">
        <f aca="false">SUMIFS(Lançamentos!$D$5:$D$2004,Lançamentos!$B$5:$B$2004,Q$4,Lançamentos!$G$5:$G$2004,$A26)</f>
        <v>0</v>
      </c>
      <c r="R26" s="7" t="n">
        <f aca="false">SUMIFS(Lançamentos!$D$5:$D$2004,Lançamentos!$B$5:$B$2004,R$4,Lançamentos!$G$5:$G$2004,$A26)</f>
        <v>0</v>
      </c>
    </row>
    <row r="27" customFormat="false" ht="15" hidden="false" customHeight="false" outlineLevel="0" collapsed="false">
      <c r="A27" s="34" t="n">
        <f aca="false">A26+7</f>
        <v>46447</v>
      </c>
      <c r="B27" s="34" t="n">
        <f aca="false">A27+6</f>
        <v>46453</v>
      </c>
      <c r="C27" s="7" t="n">
        <f aca="false">SUMIFS(Lançamentos!$D$5:$D$2004,Lançamentos!$F$5:$F$2004,"Ganho",Lançamentos!$G$5:$G$2004,$A27)</f>
        <v>0</v>
      </c>
      <c r="D27" s="7" t="n">
        <f aca="false">SUMIFS(Lançamentos!$D$5:$D$2004,Lançamentos!$F$5:$F$2004,"Gasto",Lançamentos!$G$5:$G$2004,$A27)</f>
        <v>0</v>
      </c>
      <c r="E27" s="35" t="n">
        <f aca="false">C27-D27</f>
        <v>0</v>
      </c>
      <c r="F27" s="7" t="n">
        <f aca="false">SUMIFS(Lançamentos!$D$5:$D$2004,Lançamentos!$B$5:$B$2004,F$4,Lançamentos!$G$5:$G$2004,$A27)</f>
        <v>0</v>
      </c>
      <c r="G27" s="7" t="n">
        <f aca="false">SUMIFS(Lançamentos!$D$5:$D$2004,Lançamentos!$B$5:$B$2004,G$4,Lançamentos!$G$5:$G$2004,$A27)</f>
        <v>0</v>
      </c>
      <c r="H27" s="7" t="n">
        <f aca="false">SUMIFS(Lançamentos!$D$5:$D$2004,Lançamentos!$B$5:$B$2004,H$4,Lançamentos!$G$5:$G$2004,$A27)</f>
        <v>0</v>
      </c>
      <c r="I27" s="7" t="n">
        <f aca="false">SUMIFS(Lançamentos!$D$5:$D$2004,Lançamentos!$B$5:$B$2004,I$4,Lançamentos!$G$5:$G$2004,$A27)</f>
        <v>0</v>
      </c>
      <c r="J27" s="7" t="n">
        <f aca="false">SUMIFS(Lançamentos!$D$5:$D$2004,Lançamentos!$B$5:$B$2004,J$4,Lançamentos!$G$5:$G$2004,$A27)</f>
        <v>0</v>
      </c>
      <c r="K27" s="7" t="n">
        <f aca="false">SUMIFS(Lançamentos!$D$5:$D$2004,Lançamentos!$B$5:$B$2004,K$4,Lançamentos!$G$5:$G$2004,$A27)</f>
        <v>0</v>
      </c>
      <c r="L27" s="7" t="n">
        <f aca="false">SUMIFS(Lançamentos!$D$5:$D$2004,Lançamentos!$B$5:$B$2004,L$4,Lançamentos!$G$5:$G$2004,$A27)</f>
        <v>0</v>
      </c>
      <c r="M27" s="7" t="n">
        <f aca="false">SUMIFS(Lançamentos!$D$5:$D$2004,Lançamentos!$B$5:$B$2004,M$4,Lançamentos!$G$5:$G$2004,$A27)</f>
        <v>0</v>
      </c>
      <c r="N27" s="7" t="n">
        <f aca="false">SUMIFS(Lançamentos!$D$5:$D$2004,Lançamentos!$B$5:$B$2004,N$4,Lançamentos!$G$5:$G$2004,$A27)</f>
        <v>0</v>
      </c>
      <c r="O27" s="7" t="n">
        <f aca="false">SUMIFS(Lançamentos!$D$5:$D$2004,Lançamentos!$B$5:$B$2004,O$4,Lançamentos!$G$5:$G$2004,$A27)</f>
        <v>0</v>
      </c>
      <c r="P27" s="7" t="n">
        <f aca="false">SUMIFS(Lançamentos!$D$5:$D$2004,Lançamentos!$B$5:$B$2004,P$4,Lançamentos!$G$5:$G$2004,$A27)</f>
        <v>0</v>
      </c>
      <c r="Q27" s="7" t="n">
        <f aca="false">SUMIFS(Lançamentos!$D$5:$D$2004,Lançamentos!$B$5:$B$2004,Q$4,Lançamentos!$G$5:$G$2004,$A27)</f>
        <v>0</v>
      </c>
      <c r="R27" s="7" t="n">
        <f aca="false">SUMIFS(Lançamentos!$D$5:$D$2004,Lançamentos!$B$5:$B$2004,R$4,Lançamentos!$G$5:$G$2004,$A27)</f>
        <v>0</v>
      </c>
    </row>
    <row r="28" customFormat="false" ht="15" hidden="false" customHeight="false" outlineLevel="0" collapsed="false">
      <c r="A28" s="34" t="n">
        <f aca="false">A27+7</f>
        <v>46454</v>
      </c>
      <c r="B28" s="34" t="n">
        <f aca="false">A28+6</f>
        <v>46460</v>
      </c>
      <c r="C28" s="7" t="n">
        <f aca="false">SUMIFS(Lançamentos!$D$5:$D$2004,Lançamentos!$F$5:$F$2004,"Ganho",Lançamentos!$G$5:$G$2004,$A28)</f>
        <v>0</v>
      </c>
      <c r="D28" s="7" t="n">
        <f aca="false">SUMIFS(Lançamentos!$D$5:$D$2004,Lançamentos!$F$5:$F$2004,"Gasto",Lançamentos!$G$5:$G$2004,$A28)</f>
        <v>0</v>
      </c>
      <c r="E28" s="35" t="n">
        <f aca="false">C28-D28</f>
        <v>0</v>
      </c>
      <c r="F28" s="7" t="n">
        <f aca="false">SUMIFS(Lançamentos!$D$5:$D$2004,Lançamentos!$B$5:$B$2004,F$4,Lançamentos!$G$5:$G$2004,$A28)</f>
        <v>0</v>
      </c>
      <c r="G28" s="7" t="n">
        <f aca="false">SUMIFS(Lançamentos!$D$5:$D$2004,Lançamentos!$B$5:$B$2004,G$4,Lançamentos!$G$5:$G$2004,$A28)</f>
        <v>0</v>
      </c>
      <c r="H28" s="7" t="n">
        <f aca="false">SUMIFS(Lançamentos!$D$5:$D$2004,Lançamentos!$B$5:$B$2004,H$4,Lançamentos!$G$5:$G$2004,$A28)</f>
        <v>0</v>
      </c>
      <c r="I28" s="7" t="n">
        <f aca="false">SUMIFS(Lançamentos!$D$5:$D$2004,Lançamentos!$B$5:$B$2004,I$4,Lançamentos!$G$5:$G$2004,$A28)</f>
        <v>0</v>
      </c>
      <c r="J28" s="7" t="n">
        <f aca="false">SUMIFS(Lançamentos!$D$5:$D$2004,Lançamentos!$B$5:$B$2004,J$4,Lançamentos!$G$5:$G$2004,$A28)</f>
        <v>0</v>
      </c>
      <c r="K28" s="7" t="n">
        <f aca="false">SUMIFS(Lançamentos!$D$5:$D$2004,Lançamentos!$B$5:$B$2004,K$4,Lançamentos!$G$5:$G$2004,$A28)</f>
        <v>0</v>
      </c>
      <c r="L28" s="7" t="n">
        <f aca="false">SUMIFS(Lançamentos!$D$5:$D$2004,Lançamentos!$B$5:$B$2004,L$4,Lançamentos!$G$5:$G$2004,$A28)</f>
        <v>0</v>
      </c>
      <c r="M28" s="7" t="n">
        <f aca="false">SUMIFS(Lançamentos!$D$5:$D$2004,Lançamentos!$B$5:$B$2004,M$4,Lançamentos!$G$5:$G$2004,$A28)</f>
        <v>0</v>
      </c>
      <c r="N28" s="7" t="n">
        <f aca="false">SUMIFS(Lançamentos!$D$5:$D$2004,Lançamentos!$B$5:$B$2004,N$4,Lançamentos!$G$5:$G$2004,$A28)</f>
        <v>0</v>
      </c>
      <c r="O28" s="7" t="n">
        <f aca="false">SUMIFS(Lançamentos!$D$5:$D$2004,Lançamentos!$B$5:$B$2004,O$4,Lançamentos!$G$5:$G$2004,$A28)</f>
        <v>0</v>
      </c>
      <c r="P28" s="7" t="n">
        <f aca="false">SUMIFS(Lançamentos!$D$5:$D$2004,Lançamentos!$B$5:$B$2004,P$4,Lançamentos!$G$5:$G$2004,$A28)</f>
        <v>0</v>
      </c>
      <c r="Q28" s="7" t="n">
        <f aca="false">SUMIFS(Lançamentos!$D$5:$D$2004,Lançamentos!$B$5:$B$2004,Q$4,Lançamentos!$G$5:$G$2004,$A28)</f>
        <v>0</v>
      </c>
      <c r="R28" s="7" t="n">
        <f aca="false">SUMIFS(Lançamentos!$D$5:$D$2004,Lançamentos!$B$5:$B$2004,R$4,Lançamentos!$G$5:$G$2004,$A28)</f>
        <v>0</v>
      </c>
    </row>
    <row r="29" customFormat="false" ht="15" hidden="false" customHeight="false" outlineLevel="0" collapsed="false">
      <c r="A29" s="34" t="n">
        <f aca="false">A28+7</f>
        <v>46461</v>
      </c>
      <c r="B29" s="34" t="n">
        <f aca="false">A29+6</f>
        <v>46467</v>
      </c>
      <c r="C29" s="7" t="n">
        <f aca="false">SUMIFS(Lançamentos!$D$5:$D$2004,Lançamentos!$F$5:$F$2004,"Ganho",Lançamentos!$G$5:$G$2004,$A29)</f>
        <v>0</v>
      </c>
      <c r="D29" s="7" t="n">
        <f aca="false">SUMIFS(Lançamentos!$D$5:$D$2004,Lançamentos!$F$5:$F$2004,"Gasto",Lançamentos!$G$5:$G$2004,$A29)</f>
        <v>0</v>
      </c>
      <c r="E29" s="35" t="n">
        <f aca="false">C29-D29</f>
        <v>0</v>
      </c>
      <c r="F29" s="7" t="n">
        <f aca="false">SUMIFS(Lançamentos!$D$5:$D$2004,Lançamentos!$B$5:$B$2004,F$4,Lançamentos!$G$5:$G$2004,$A29)</f>
        <v>0</v>
      </c>
      <c r="G29" s="7" t="n">
        <f aca="false">SUMIFS(Lançamentos!$D$5:$D$2004,Lançamentos!$B$5:$B$2004,G$4,Lançamentos!$G$5:$G$2004,$A29)</f>
        <v>0</v>
      </c>
      <c r="H29" s="7" t="n">
        <f aca="false">SUMIFS(Lançamentos!$D$5:$D$2004,Lançamentos!$B$5:$B$2004,H$4,Lançamentos!$G$5:$G$2004,$A29)</f>
        <v>0</v>
      </c>
      <c r="I29" s="7" t="n">
        <f aca="false">SUMIFS(Lançamentos!$D$5:$D$2004,Lançamentos!$B$5:$B$2004,I$4,Lançamentos!$G$5:$G$2004,$A29)</f>
        <v>0</v>
      </c>
      <c r="J29" s="7" t="n">
        <f aca="false">SUMIFS(Lançamentos!$D$5:$D$2004,Lançamentos!$B$5:$B$2004,J$4,Lançamentos!$G$5:$G$2004,$A29)</f>
        <v>0</v>
      </c>
      <c r="K29" s="7" t="n">
        <f aca="false">SUMIFS(Lançamentos!$D$5:$D$2004,Lançamentos!$B$5:$B$2004,K$4,Lançamentos!$G$5:$G$2004,$A29)</f>
        <v>0</v>
      </c>
      <c r="L29" s="7" t="n">
        <f aca="false">SUMIFS(Lançamentos!$D$5:$D$2004,Lançamentos!$B$5:$B$2004,L$4,Lançamentos!$G$5:$G$2004,$A29)</f>
        <v>0</v>
      </c>
      <c r="M29" s="7" t="n">
        <f aca="false">SUMIFS(Lançamentos!$D$5:$D$2004,Lançamentos!$B$5:$B$2004,M$4,Lançamentos!$G$5:$G$2004,$A29)</f>
        <v>0</v>
      </c>
      <c r="N29" s="7" t="n">
        <f aca="false">SUMIFS(Lançamentos!$D$5:$D$2004,Lançamentos!$B$5:$B$2004,N$4,Lançamentos!$G$5:$G$2004,$A29)</f>
        <v>0</v>
      </c>
      <c r="O29" s="7" t="n">
        <f aca="false">SUMIFS(Lançamentos!$D$5:$D$2004,Lançamentos!$B$5:$B$2004,O$4,Lançamentos!$G$5:$G$2004,$A29)</f>
        <v>0</v>
      </c>
      <c r="P29" s="7" t="n">
        <f aca="false">SUMIFS(Lançamentos!$D$5:$D$2004,Lançamentos!$B$5:$B$2004,P$4,Lançamentos!$G$5:$G$2004,$A29)</f>
        <v>0</v>
      </c>
      <c r="Q29" s="7" t="n">
        <f aca="false">SUMIFS(Lançamentos!$D$5:$D$2004,Lançamentos!$B$5:$B$2004,Q$4,Lançamentos!$G$5:$G$2004,$A29)</f>
        <v>0</v>
      </c>
      <c r="R29" s="7" t="n">
        <f aca="false">SUMIFS(Lançamentos!$D$5:$D$2004,Lançamentos!$B$5:$B$2004,R$4,Lançamentos!$G$5:$G$2004,$A29)</f>
        <v>0</v>
      </c>
    </row>
    <row r="30" customFormat="false" ht="15" hidden="false" customHeight="false" outlineLevel="0" collapsed="false">
      <c r="A30" s="34" t="n">
        <f aca="false">A29+7</f>
        <v>46468</v>
      </c>
      <c r="B30" s="34" t="n">
        <f aca="false">A30+6</f>
        <v>46474</v>
      </c>
      <c r="C30" s="7" t="n">
        <f aca="false">SUMIFS(Lançamentos!$D$5:$D$2004,Lançamentos!$F$5:$F$2004,"Ganho",Lançamentos!$G$5:$G$2004,$A30)</f>
        <v>0</v>
      </c>
      <c r="D30" s="7" t="n">
        <f aca="false">SUMIFS(Lançamentos!$D$5:$D$2004,Lançamentos!$F$5:$F$2004,"Gasto",Lançamentos!$G$5:$G$2004,$A30)</f>
        <v>0</v>
      </c>
      <c r="E30" s="35" t="n">
        <f aca="false">C30-D30</f>
        <v>0</v>
      </c>
      <c r="F30" s="7" t="n">
        <f aca="false">SUMIFS(Lançamentos!$D$5:$D$2004,Lançamentos!$B$5:$B$2004,F$4,Lançamentos!$G$5:$G$2004,$A30)</f>
        <v>0</v>
      </c>
      <c r="G30" s="7" t="n">
        <f aca="false">SUMIFS(Lançamentos!$D$5:$D$2004,Lançamentos!$B$5:$B$2004,G$4,Lançamentos!$G$5:$G$2004,$A30)</f>
        <v>0</v>
      </c>
      <c r="H30" s="7" t="n">
        <f aca="false">SUMIFS(Lançamentos!$D$5:$D$2004,Lançamentos!$B$5:$B$2004,H$4,Lançamentos!$G$5:$G$2004,$A30)</f>
        <v>0</v>
      </c>
      <c r="I30" s="7" t="n">
        <f aca="false">SUMIFS(Lançamentos!$D$5:$D$2004,Lançamentos!$B$5:$B$2004,I$4,Lançamentos!$G$5:$G$2004,$A30)</f>
        <v>0</v>
      </c>
      <c r="J30" s="7" t="n">
        <f aca="false">SUMIFS(Lançamentos!$D$5:$D$2004,Lançamentos!$B$5:$B$2004,J$4,Lançamentos!$G$5:$G$2004,$A30)</f>
        <v>0</v>
      </c>
      <c r="K30" s="7" t="n">
        <f aca="false">SUMIFS(Lançamentos!$D$5:$D$2004,Lançamentos!$B$5:$B$2004,K$4,Lançamentos!$G$5:$G$2004,$A30)</f>
        <v>0</v>
      </c>
      <c r="L30" s="7" t="n">
        <f aca="false">SUMIFS(Lançamentos!$D$5:$D$2004,Lançamentos!$B$5:$B$2004,L$4,Lançamentos!$G$5:$G$2004,$A30)</f>
        <v>0</v>
      </c>
      <c r="M30" s="7" t="n">
        <f aca="false">SUMIFS(Lançamentos!$D$5:$D$2004,Lançamentos!$B$5:$B$2004,M$4,Lançamentos!$G$5:$G$2004,$A30)</f>
        <v>0</v>
      </c>
      <c r="N30" s="7" t="n">
        <f aca="false">SUMIFS(Lançamentos!$D$5:$D$2004,Lançamentos!$B$5:$B$2004,N$4,Lançamentos!$G$5:$G$2004,$A30)</f>
        <v>0</v>
      </c>
      <c r="O30" s="7" t="n">
        <f aca="false">SUMIFS(Lançamentos!$D$5:$D$2004,Lançamentos!$B$5:$B$2004,O$4,Lançamentos!$G$5:$G$2004,$A30)</f>
        <v>0</v>
      </c>
      <c r="P30" s="7" t="n">
        <f aca="false">SUMIFS(Lançamentos!$D$5:$D$2004,Lançamentos!$B$5:$B$2004,P$4,Lançamentos!$G$5:$G$2004,$A30)</f>
        <v>0</v>
      </c>
      <c r="Q30" s="7" t="n">
        <f aca="false">SUMIFS(Lançamentos!$D$5:$D$2004,Lançamentos!$B$5:$B$2004,Q$4,Lançamentos!$G$5:$G$2004,$A30)</f>
        <v>0</v>
      </c>
      <c r="R30" s="7" t="n">
        <f aca="false">SUMIFS(Lançamentos!$D$5:$D$2004,Lançamentos!$B$5:$B$2004,R$4,Lançamentos!$G$5:$G$2004,$A30)</f>
        <v>0</v>
      </c>
    </row>
    <row r="31" customFormat="false" ht="15" hidden="false" customHeight="false" outlineLevel="0" collapsed="false">
      <c r="A31" s="34" t="n">
        <f aca="false">A30+7</f>
        <v>46475</v>
      </c>
      <c r="B31" s="34" t="n">
        <f aca="false">A31+6</f>
        <v>46481</v>
      </c>
      <c r="C31" s="7" t="n">
        <f aca="false">SUMIFS(Lançamentos!$D$5:$D$2004,Lançamentos!$F$5:$F$2004,"Ganho",Lançamentos!$G$5:$G$2004,$A31)</f>
        <v>0</v>
      </c>
      <c r="D31" s="7" t="n">
        <f aca="false">SUMIFS(Lançamentos!$D$5:$D$2004,Lançamentos!$F$5:$F$2004,"Gasto",Lançamentos!$G$5:$G$2004,$A31)</f>
        <v>0</v>
      </c>
      <c r="E31" s="35" t="n">
        <f aca="false">C31-D31</f>
        <v>0</v>
      </c>
      <c r="F31" s="7" t="n">
        <f aca="false">SUMIFS(Lançamentos!$D$5:$D$2004,Lançamentos!$B$5:$B$2004,F$4,Lançamentos!$G$5:$G$2004,$A31)</f>
        <v>0</v>
      </c>
      <c r="G31" s="7" t="n">
        <f aca="false">SUMIFS(Lançamentos!$D$5:$D$2004,Lançamentos!$B$5:$B$2004,G$4,Lançamentos!$G$5:$G$2004,$A31)</f>
        <v>0</v>
      </c>
      <c r="H31" s="7" t="n">
        <f aca="false">SUMIFS(Lançamentos!$D$5:$D$2004,Lançamentos!$B$5:$B$2004,H$4,Lançamentos!$G$5:$G$2004,$A31)</f>
        <v>0</v>
      </c>
      <c r="I31" s="7" t="n">
        <f aca="false">SUMIFS(Lançamentos!$D$5:$D$2004,Lançamentos!$B$5:$B$2004,I$4,Lançamentos!$G$5:$G$2004,$A31)</f>
        <v>0</v>
      </c>
      <c r="J31" s="7" t="n">
        <f aca="false">SUMIFS(Lançamentos!$D$5:$D$2004,Lançamentos!$B$5:$B$2004,J$4,Lançamentos!$G$5:$G$2004,$A31)</f>
        <v>0</v>
      </c>
      <c r="K31" s="7" t="n">
        <f aca="false">SUMIFS(Lançamentos!$D$5:$D$2004,Lançamentos!$B$5:$B$2004,K$4,Lançamentos!$G$5:$G$2004,$A31)</f>
        <v>0</v>
      </c>
      <c r="L31" s="7" t="n">
        <f aca="false">SUMIFS(Lançamentos!$D$5:$D$2004,Lançamentos!$B$5:$B$2004,L$4,Lançamentos!$G$5:$G$2004,$A31)</f>
        <v>0</v>
      </c>
      <c r="M31" s="7" t="n">
        <f aca="false">SUMIFS(Lançamentos!$D$5:$D$2004,Lançamentos!$B$5:$B$2004,M$4,Lançamentos!$G$5:$G$2004,$A31)</f>
        <v>0</v>
      </c>
      <c r="N31" s="7" t="n">
        <f aca="false">SUMIFS(Lançamentos!$D$5:$D$2004,Lançamentos!$B$5:$B$2004,N$4,Lançamentos!$G$5:$G$2004,$A31)</f>
        <v>0</v>
      </c>
      <c r="O31" s="7" t="n">
        <f aca="false">SUMIFS(Lançamentos!$D$5:$D$2004,Lançamentos!$B$5:$B$2004,O$4,Lançamentos!$G$5:$G$2004,$A31)</f>
        <v>0</v>
      </c>
      <c r="P31" s="7" t="n">
        <f aca="false">SUMIFS(Lançamentos!$D$5:$D$2004,Lançamentos!$B$5:$B$2004,P$4,Lançamentos!$G$5:$G$2004,$A31)</f>
        <v>0</v>
      </c>
      <c r="Q31" s="7" t="n">
        <f aca="false">SUMIFS(Lançamentos!$D$5:$D$2004,Lançamentos!$B$5:$B$2004,Q$4,Lançamentos!$G$5:$G$2004,$A31)</f>
        <v>0</v>
      </c>
      <c r="R31" s="7" t="n">
        <f aca="false">SUMIFS(Lançamentos!$D$5:$D$2004,Lançamentos!$B$5:$B$2004,R$4,Lançamentos!$G$5:$G$2004,$A31)</f>
        <v>0</v>
      </c>
    </row>
    <row r="32" customFormat="false" ht="15" hidden="false" customHeight="false" outlineLevel="0" collapsed="false">
      <c r="A32" s="34" t="n">
        <f aca="false">A31+7</f>
        <v>46482</v>
      </c>
      <c r="B32" s="34" t="n">
        <f aca="false">A32+6</f>
        <v>46488</v>
      </c>
      <c r="C32" s="7" t="n">
        <f aca="false">SUMIFS(Lançamentos!$D$5:$D$2004,Lançamentos!$F$5:$F$2004,"Ganho",Lançamentos!$G$5:$G$2004,$A32)</f>
        <v>0</v>
      </c>
      <c r="D32" s="7" t="n">
        <f aca="false">SUMIFS(Lançamentos!$D$5:$D$2004,Lançamentos!$F$5:$F$2004,"Gasto",Lançamentos!$G$5:$G$2004,$A32)</f>
        <v>0</v>
      </c>
      <c r="E32" s="35" t="n">
        <f aca="false">C32-D32</f>
        <v>0</v>
      </c>
      <c r="F32" s="7" t="n">
        <f aca="false">SUMIFS(Lançamentos!$D$5:$D$2004,Lançamentos!$B$5:$B$2004,F$4,Lançamentos!$G$5:$G$2004,$A32)</f>
        <v>0</v>
      </c>
      <c r="G32" s="7" t="n">
        <f aca="false">SUMIFS(Lançamentos!$D$5:$D$2004,Lançamentos!$B$5:$B$2004,G$4,Lançamentos!$G$5:$G$2004,$A32)</f>
        <v>0</v>
      </c>
      <c r="H32" s="7" t="n">
        <f aca="false">SUMIFS(Lançamentos!$D$5:$D$2004,Lançamentos!$B$5:$B$2004,H$4,Lançamentos!$G$5:$G$2004,$A32)</f>
        <v>0</v>
      </c>
      <c r="I32" s="7" t="n">
        <f aca="false">SUMIFS(Lançamentos!$D$5:$D$2004,Lançamentos!$B$5:$B$2004,I$4,Lançamentos!$G$5:$G$2004,$A32)</f>
        <v>0</v>
      </c>
      <c r="J32" s="7" t="n">
        <f aca="false">SUMIFS(Lançamentos!$D$5:$D$2004,Lançamentos!$B$5:$B$2004,J$4,Lançamentos!$G$5:$G$2004,$A32)</f>
        <v>0</v>
      </c>
      <c r="K32" s="7" t="n">
        <f aca="false">SUMIFS(Lançamentos!$D$5:$D$2004,Lançamentos!$B$5:$B$2004,K$4,Lançamentos!$G$5:$G$2004,$A32)</f>
        <v>0</v>
      </c>
      <c r="L32" s="7" t="n">
        <f aca="false">SUMIFS(Lançamentos!$D$5:$D$2004,Lançamentos!$B$5:$B$2004,L$4,Lançamentos!$G$5:$G$2004,$A32)</f>
        <v>0</v>
      </c>
      <c r="M32" s="7" t="n">
        <f aca="false">SUMIFS(Lançamentos!$D$5:$D$2004,Lançamentos!$B$5:$B$2004,M$4,Lançamentos!$G$5:$G$2004,$A32)</f>
        <v>0</v>
      </c>
      <c r="N32" s="7" t="n">
        <f aca="false">SUMIFS(Lançamentos!$D$5:$D$2004,Lançamentos!$B$5:$B$2004,N$4,Lançamentos!$G$5:$G$2004,$A32)</f>
        <v>0</v>
      </c>
      <c r="O32" s="7" t="n">
        <f aca="false">SUMIFS(Lançamentos!$D$5:$D$2004,Lançamentos!$B$5:$B$2004,O$4,Lançamentos!$G$5:$G$2004,$A32)</f>
        <v>0</v>
      </c>
      <c r="P32" s="7" t="n">
        <f aca="false">SUMIFS(Lançamentos!$D$5:$D$2004,Lançamentos!$B$5:$B$2004,P$4,Lançamentos!$G$5:$G$2004,$A32)</f>
        <v>0</v>
      </c>
      <c r="Q32" s="7" t="n">
        <f aca="false">SUMIFS(Lançamentos!$D$5:$D$2004,Lançamentos!$B$5:$B$2004,Q$4,Lançamentos!$G$5:$G$2004,$A32)</f>
        <v>0</v>
      </c>
      <c r="R32" s="7" t="n">
        <f aca="false">SUMIFS(Lançamentos!$D$5:$D$2004,Lançamentos!$B$5:$B$2004,R$4,Lançamentos!$G$5:$G$2004,$A32)</f>
        <v>0</v>
      </c>
    </row>
    <row r="33" customFormat="false" ht="15" hidden="false" customHeight="false" outlineLevel="0" collapsed="false">
      <c r="A33" s="34" t="n">
        <f aca="false">A32+7</f>
        <v>46489</v>
      </c>
      <c r="B33" s="34" t="n">
        <f aca="false">A33+6</f>
        <v>46495</v>
      </c>
      <c r="C33" s="7" t="n">
        <f aca="false">SUMIFS(Lançamentos!$D$5:$D$2004,Lançamentos!$F$5:$F$2004,"Ganho",Lançamentos!$G$5:$G$2004,$A33)</f>
        <v>0</v>
      </c>
      <c r="D33" s="7" t="n">
        <f aca="false">SUMIFS(Lançamentos!$D$5:$D$2004,Lançamentos!$F$5:$F$2004,"Gasto",Lançamentos!$G$5:$G$2004,$A33)</f>
        <v>0</v>
      </c>
      <c r="E33" s="35" t="n">
        <f aca="false">C33-D33</f>
        <v>0</v>
      </c>
      <c r="F33" s="7" t="n">
        <f aca="false">SUMIFS(Lançamentos!$D$5:$D$2004,Lançamentos!$B$5:$B$2004,F$4,Lançamentos!$G$5:$G$2004,$A33)</f>
        <v>0</v>
      </c>
      <c r="G33" s="7" t="n">
        <f aca="false">SUMIFS(Lançamentos!$D$5:$D$2004,Lançamentos!$B$5:$B$2004,G$4,Lançamentos!$G$5:$G$2004,$A33)</f>
        <v>0</v>
      </c>
      <c r="H33" s="7" t="n">
        <f aca="false">SUMIFS(Lançamentos!$D$5:$D$2004,Lançamentos!$B$5:$B$2004,H$4,Lançamentos!$G$5:$G$2004,$A33)</f>
        <v>0</v>
      </c>
      <c r="I33" s="7" t="n">
        <f aca="false">SUMIFS(Lançamentos!$D$5:$D$2004,Lançamentos!$B$5:$B$2004,I$4,Lançamentos!$G$5:$G$2004,$A33)</f>
        <v>0</v>
      </c>
      <c r="J33" s="7" t="n">
        <f aca="false">SUMIFS(Lançamentos!$D$5:$D$2004,Lançamentos!$B$5:$B$2004,J$4,Lançamentos!$G$5:$G$2004,$A33)</f>
        <v>0</v>
      </c>
      <c r="K33" s="7" t="n">
        <f aca="false">SUMIFS(Lançamentos!$D$5:$D$2004,Lançamentos!$B$5:$B$2004,K$4,Lançamentos!$G$5:$G$2004,$A33)</f>
        <v>0</v>
      </c>
      <c r="L33" s="7" t="n">
        <f aca="false">SUMIFS(Lançamentos!$D$5:$D$2004,Lançamentos!$B$5:$B$2004,L$4,Lançamentos!$G$5:$G$2004,$A33)</f>
        <v>0</v>
      </c>
      <c r="M33" s="7" t="n">
        <f aca="false">SUMIFS(Lançamentos!$D$5:$D$2004,Lançamentos!$B$5:$B$2004,M$4,Lançamentos!$G$5:$G$2004,$A33)</f>
        <v>0</v>
      </c>
      <c r="N33" s="7" t="n">
        <f aca="false">SUMIFS(Lançamentos!$D$5:$D$2004,Lançamentos!$B$5:$B$2004,N$4,Lançamentos!$G$5:$G$2004,$A33)</f>
        <v>0</v>
      </c>
      <c r="O33" s="7" t="n">
        <f aca="false">SUMIFS(Lançamentos!$D$5:$D$2004,Lançamentos!$B$5:$B$2004,O$4,Lançamentos!$G$5:$G$2004,$A33)</f>
        <v>0</v>
      </c>
      <c r="P33" s="7" t="n">
        <f aca="false">SUMIFS(Lançamentos!$D$5:$D$2004,Lançamentos!$B$5:$B$2004,P$4,Lançamentos!$G$5:$G$2004,$A33)</f>
        <v>0</v>
      </c>
      <c r="Q33" s="7" t="n">
        <f aca="false">SUMIFS(Lançamentos!$D$5:$D$2004,Lançamentos!$B$5:$B$2004,Q$4,Lançamentos!$G$5:$G$2004,$A33)</f>
        <v>0</v>
      </c>
      <c r="R33" s="7" t="n">
        <f aca="false">SUMIFS(Lançamentos!$D$5:$D$2004,Lançamentos!$B$5:$B$2004,R$4,Lançamentos!$G$5:$G$2004,$A33)</f>
        <v>0</v>
      </c>
    </row>
    <row r="34" customFormat="false" ht="15" hidden="false" customHeight="false" outlineLevel="0" collapsed="false">
      <c r="A34" s="34" t="n">
        <f aca="false">A33+7</f>
        <v>46496</v>
      </c>
      <c r="B34" s="34" t="n">
        <f aca="false">A34+6</f>
        <v>46502</v>
      </c>
      <c r="C34" s="7" t="n">
        <f aca="false">SUMIFS(Lançamentos!$D$5:$D$2004,Lançamentos!$F$5:$F$2004,"Ganho",Lançamentos!$G$5:$G$2004,$A34)</f>
        <v>0</v>
      </c>
      <c r="D34" s="7" t="n">
        <f aca="false">SUMIFS(Lançamentos!$D$5:$D$2004,Lançamentos!$F$5:$F$2004,"Gasto",Lançamentos!$G$5:$G$2004,$A34)</f>
        <v>0</v>
      </c>
      <c r="E34" s="35" t="n">
        <f aca="false">C34-D34</f>
        <v>0</v>
      </c>
      <c r="F34" s="7" t="n">
        <f aca="false">SUMIFS(Lançamentos!$D$5:$D$2004,Lançamentos!$B$5:$B$2004,F$4,Lançamentos!$G$5:$G$2004,$A34)</f>
        <v>0</v>
      </c>
      <c r="G34" s="7" t="n">
        <f aca="false">SUMIFS(Lançamentos!$D$5:$D$2004,Lançamentos!$B$5:$B$2004,G$4,Lançamentos!$G$5:$G$2004,$A34)</f>
        <v>0</v>
      </c>
      <c r="H34" s="7" t="n">
        <f aca="false">SUMIFS(Lançamentos!$D$5:$D$2004,Lançamentos!$B$5:$B$2004,H$4,Lançamentos!$G$5:$G$2004,$A34)</f>
        <v>0</v>
      </c>
      <c r="I34" s="7" t="n">
        <f aca="false">SUMIFS(Lançamentos!$D$5:$D$2004,Lançamentos!$B$5:$B$2004,I$4,Lançamentos!$G$5:$G$2004,$A34)</f>
        <v>0</v>
      </c>
      <c r="J34" s="7" t="n">
        <f aca="false">SUMIFS(Lançamentos!$D$5:$D$2004,Lançamentos!$B$5:$B$2004,J$4,Lançamentos!$G$5:$G$2004,$A34)</f>
        <v>0</v>
      </c>
      <c r="K34" s="7" t="n">
        <f aca="false">SUMIFS(Lançamentos!$D$5:$D$2004,Lançamentos!$B$5:$B$2004,K$4,Lançamentos!$G$5:$G$2004,$A34)</f>
        <v>0</v>
      </c>
      <c r="L34" s="7" t="n">
        <f aca="false">SUMIFS(Lançamentos!$D$5:$D$2004,Lançamentos!$B$5:$B$2004,L$4,Lançamentos!$G$5:$G$2004,$A34)</f>
        <v>0</v>
      </c>
      <c r="M34" s="7" t="n">
        <f aca="false">SUMIFS(Lançamentos!$D$5:$D$2004,Lançamentos!$B$5:$B$2004,M$4,Lançamentos!$G$5:$G$2004,$A34)</f>
        <v>0</v>
      </c>
      <c r="N34" s="7" t="n">
        <f aca="false">SUMIFS(Lançamentos!$D$5:$D$2004,Lançamentos!$B$5:$B$2004,N$4,Lançamentos!$G$5:$G$2004,$A34)</f>
        <v>0</v>
      </c>
      <c r="O34" s="7" t="n">
        <f aca="false">SUMIFS(Lançamentos!$D$5:$D$2004,Lançamentos!$B$5:$B$2004,O$4,Lançamentos!$G$5:$G$2004,$A34)</f>
        <v>0</v>
      </c>
      <c r="P34" s="7" t="n">
        <f aca="false">SUMIFS(Lançamentos!$D$5:$D$2004,Lançamentos!$B$5:$B$2004,P$4,Lançamentos!$G$5:$G$2004,$A34)</f>
        <v>0</v>
      </c>
      <c r="Q34" s="7" t="n">
        <f aca="false">SUMIFS(Lançamentos!$D$5:$D$2004,Lançamentos!$B$5:$B$2004,Q$4,Lançamentos!$G$5:$G$2004,$A34)</f>
        <v>0</v>
      </c>
      <c r="R34" s="7" t="n">
        <f aca="false">SUMIFS(Lançamentos!$D$5:$D$2004,Lançamentos!$B$5:$B$2004,R$4,Lançamentos!$G$5:$G$2004,$A34)</f>
        <v>0</v>
      </c>
    </row>
    <row r="35" customFormat="false" ht="15" hidden="false" customHeight="false" outlineLevel="0" collapsed="false">
      <c r="A35" s="34" t="n">
        <f aca="false">A34+7</f>
        <v>46503</v>
      </c>
      <c r="B35" s="34" t="n">
        <f aca="false">A35+6</f>
        <v>46509</v>
      </c>
      <c r="C35" s="7" t="n">
        <f aca="false">SUMIFS(Lançamentos!$D$5:$D$2004,Lançamentos!$F$5:$F$2004,"Ganho",Lançamentos!$G$5:$G$2004,$A35)</f>
        <v>0</v>
      </c>
      <c r="D35" s="7" t="n">
        <f aca="false">SUMIFS(Lançamentos!$D$5:$D$2004,Lançamentos!$F$5:$F$2004,"Gasto",Lançamentos!$G$5:$G$2004,$A35)</f>
        <v>0</v>
      </c>
      <c r="E35" s="35" t="n">
        <f aca="false">C35-D35</f>
        <v>0</v>
      </c>
      <c r="F35" s="7" t="n">
        <f aca="false">SUMIFS(Lançamentos!$D$5:$D$2004,Lançamentos!$B$5:$B$2004,F$4,Lançamentos!$G$5:$G$2004,$A35)</f>
        <v>0</v>
      </c>
      <c r="G35" s="7" t="n">
        <f aca="false">SUMIFS(Lançamentos!$D$5:$D$2004,Lançamentos!$B$5:$B$2004,G$4,Lançamentos!$G$5:$G$2004,$A35)</f>
        <v>0</v>
      </c>
      <c r="H35" s="7" t="n">
        <f aca="false">SUMIFS(Lançamentos!$D$5:$D$2004,Lançamentos!$B$5:$B$2004,H$4,Lançamentos!$G$5:$G$2004,$A35)</f>
        <v>0</v>
      </c>
      <c r="I35" s="7" t="n">
        <f aca="false">SUMIFS(Lançamentos!$D$5:$D$2004,Lançamentos!$B$5:$B$2004,I$4,Lançamentos!$G$5:$G$2004,$A35)</f>
        <v>0</v>
      </c>
      <c r="J35" s="7" t="n">
        <f aca="false">SUMIFS(Lançamentos!$D$5:$D$2004,Lançamentos!$B$5:$B$2004,J$4,Lançamentos!$G$5:$G$2004,$A35)</f>
        <v>0</v>
      </c>
      <c r="K35" s="7" t="n">
        <f aca="false">SUMIFS(Lançamentos!$D$5:$D$2004,Lançamentos!$B$5:$B$2004,K$4,Lançamentos!$G$5:$G$2004,$A35)</f>
        <v>0</v>
      </c>
      <c r="L35" s="7" t="n">
        <f aca="false">SUMIFS(Lançamentos!$D$5:$D$2004,Lançamentos!$B$5:$B$2004,L$4,Lançamentos!$G$5:$G$2004,$A35)</f>
        <v>0</v>
      </c>
      <c r="M35" s="7" t="n">
        <f aca="false">SUMIFS(Lançamentos!$D$5:$D$2004,Lançamentos!$B$5:$B$2004,M$4,Lançamentos!$G$5:$G$2004,$A35)</f>
        <v>0</v>
      </c>
      <c r="N35" s="7" t="n">
        <f aca="false">SUMIFS(Lançamentos!$D$5:$D$2004,Lançamentos!$B$5:$B$2004,N$4,Lançamentos!$G$5:$G$2004,$A35)</f>
        <v>0</v>
      </c>
      <c r="O35" s="7" t="n">
        <f aca="false">SUMIFS(Lançamentos!$D$5:$D$2004,Lançamentos!$B$5:$B$2004,O$4,Lançamentos!$G$5:$G$2004,$A35)</f>
        <v>0</v>
      </c>
      <c r="P35" s="7" t="n">
        <f aca="false">SUMIFS(Lançamentos!$D$5:$D$2004,Lançamentos!$B$5:$B$2004,P$4,Lançamentos!$G$5:$G$2004,$A35)</f>
        <v>0</v>
      </c>
      <c r="Q35" s="7" t="n">
        <f aca="false">SUMIFS(Lançamentos!$D$5:$D$2004,Lançamentos!$B$5:$B$2004,Q$4,Lançamentos!$G$5:$G$2004,$A35)</f>
        <v>0</v>
      </c>
      <c r="R35" s="7" t="n">
        <f aca="false">SUMIFS(Lançamentos!$D$5:$D$2004,Lançamentos!$B$5:$B$2004,R$4,Lançamentos!$G$5:$G$2004,$A35)</f>
        <v>0</v>
      </c>
    </row>
    <row r="36" customFormat="false" ht="15" hidden="false" customHeight="false" outlineLevel="0" collapsed="false">
      <c r="A36" s="34" t="n">
        <f aca="false">A35+7</f>
        <v>46510</v>
      </c>
      <c r="B36" s="34" t="n">
        <f aca="false">A36+6</f>
        <v>46516</v>
      </c>
      <c r="C36" s="7" t="n">
        <f aca="false">SUMIFS(Lançamentos!$D$5:$D$2004,Lançamentos!$F$5:$F$2004,"Ganho",Lançamentos!$G$5:$G$2004,$A36)</f>
        <v>0</v>
      </c>
      <c r="D36" s="7" t="n">
        <f aca="false">SUMIFS(Lançamentos!$D$5:$D$2004,Lançamentos!$F$5:$F$2004,"Gasto",Lançamentos!$G$5:$G$2004,$A36)</f>
        <v>0</v>
      </c>
      <c r="E36" s="35" t="n">
        <f aca="false">C36-D36</f>
        <v>0</v>
      </c>
      <c r="F36" s="7" t="n">
        <f aca="false">SUMIFS(Lançamentos!$D$5:$D$2004,Lançamentos!$B$5:$B$2004,F$4,Lançamentos!$G$5:$G$2004,$A36)</f>
        <v>0</v>
      </c>
      <c r="G36" s="7" t="n">
        <f aca="false">SUMIFS(Lançamentos!$D$5:$D$2004,Lançamentos!$B$5:$B$2004,G$4,Lançamentos!$G$5:$G$2004,$A36)</f>
        <v>0</v>
      </c>
      <c r="H36" s="7" t="n">
        <f aca="false">SUMIFS(Lançamentos!$D$5:$D$2004,Lançamentos!$B$5:$B$2004,H$4,Lançamentos!$G$5:$G$2004,$A36)</f>
        <v>0</v>
      </c>
      <c r="I36" s="7" t="n">
        <f aca="false">SUMIFS(Lançamentos!$D$5:$D$2004,Lançamentos!$B$5:$B$2004,I$4,Lançamentos!$G$5:$G$2004,$A36)</f>
        <v>0</v>
      </c>
      <c r="J36" s="7" t="n">
        <f aca="false">SUMIFS(Lançamentos!$D$5:$D$2004,Lançamentos!$B$5:$B$2004,J$4,Lançamentos!$G$5:$G$2004,$A36)</f>
        <v>0</v>
      </c>
      <c r="K36" s="7" t="n">
        <f aca="false">SUMIFS(Lançamentos!$D$5:$D$2004,Lançamentos!$B$5:$B$2004,K$4,Lançamentos!$G$5:$G$2004,$A36)</f>
        <v>0</v>
      </c>
      <c r="L36" s="7" t="n">
        <f aca="false">SUMIFS(Lançamentos!$D$5:$D$2004,Lançamentos!$B$5:$B$2004,L$4,Lançamentos!$G$5:$G$2004,$A36)</f>
        <v>0</v>
      </c>
      <c r="M36" s="7" t="n">
        <f aca="false">SUMIFS(Lançamentos!$D$5:$D$2004,Lançamentos!$B$5:$B$2004,M$4,Lançamentos!$G$5:$G$2004,$A36)</f>
        <v>0</v>
      </c>
      <c r="N36" s="7" t="n">
        <f aca="false">SUMIFS(Lançamentos!$D$5:$D$2004,Lançamentos!$B$5:$B$2004,N$4,Lançamentos!$G$5:$G$2004,$A36)</f>
        <v>0</v>
      </c>
      <c r="O36" s="7" t="n">
        <f aca="false">SUMIFS(Lançamentos!$D$5:$D$2004,Lançamentos!$B$5:$B$2004,O$4,Lançamentos!$G$5:$G$2004,$A36)</f>
        <v>0</v>
      </c>
      <c r="P36" s="7" t="n">
        <f aca="false">SUMIFS(Lançamentos!$D$5:$D$2004,Lançamentos!$B$5:$B$2004,P$4,Lançamentos!$G$5:$G$2004,$A36)</f>
        <v>0</v>
      </c>
      <c r="Q36" s="7" t="n">
        <f aca="false">SUMIFS(Lançamentos!$D$5:$D$2004,Lançamentos!$B$5:$B$2004,Q$4,Lançamentos!$G$5:$G$2004,$A36)</f>
        <v>0</v>
      </c>
      <c r="R36" s="7" t="n">
        <f aca="false">SUMIFS(Lançamentos!$D$5:$D$2004,Lançamentos!$B$5:$B$2004,R$4,Lançamentos!$G$5:$G$2004,$A36)</f>
        <v>0</v>
      </c>
    </row>
    <row r="37" customFormat="false" ht="15" hidden="false" customHeight="false" outlineLevel="0" collapsed="false">
      <c r="A37" s="34" t="n">
        <f aca="false">A36+7</f>
        <v>46517</v>
      </c>
      <c r="B37" s="34" t="n">
        <f aca="false">A37+6</f>
        <v>46523</v>
      </c>
      <c r="C37" s="7" t="n">
        <f aca="false">SUMIFS(Lançamentos!$D$5:$D$2004,Lançamentos!$F$5:$F$2004,"Ganho",Lançamentos!$G$5:$G$2004,$A37)</f>
        <v>0</v>
      </c>
      <c r="D37" s="7" t="n">
        <f aca="false">SUMIFS(Lançamentos!$D$5:$D$2004,Lançamentos!$F$5:$F$2004,"Gasto",Lançamentos!$G$5:$G$2004,$A37)</f>
        <v>0</v>
      </c>
      <c r="E37" s="35" t="n">
        <f aca="false">C37-D37</f>
        <v>0</v>
      </c>
      <c r="F37" s="7" t="n">
        <f aca="false">SUMIFS(Lançamentos!$D$5:$D$2004,Lançamentos!$B$5:$B$2004,F$4,Lançamentos!$G$5:$G$2004,$A37)</f>
        <v>0</v>
      </c>
      <c r="G37" s="7" t="n">
        <f aca="false">SUMIFS(Lançamentos!$D$5:$D$2004,Lançamentos!$B$5:$B$2004,G$4,Lançamentos!$G$5:$G$2004,$A37)</f>
        <v>0</v>
      </c>
      <c r="H37" s="7" t="n">
        <f aca="false">SUMIFS(Lançamentos!$D$5:$D$2004,Lançamentos!$B$5:$B$2004,H$4,Lançamentos!$G$5:$G$2004,$A37)</f>
        <v>0</v>
      </c>
      <c r="I37" s="7" t="n">
        <f aca="false">SUMIFS(Lançamentos!$D$5:$D$2004,Lançamentos!$B$5:$B$2004,I$4,Lançamentos!$G$5:$G$2004,$A37)</f>
        <v>0</v>
      </c>
      <c r="J37" s="7" t="n">
        <f aca="false">SUMIFS(Lançamentos!$D$5:$D$2004,Lançamentos!$B$5:$B$2004,J$4,Lançamentos!$G$5:$G$2004,$A37)</f>
        <v>0</v>
      </c>
      <c r="K37" s="7" t="n">
        <f aca="false">SUMIFS(Lançamentos!$D$5:$D$2004,Lançamentos!$B$5:$B$2004,K$4,Lançamentos!$G$5:$G$2004,$A37)</f>
        <v>0</v>
      </c>
      <c r="L37" s="7" t="n">
        <f aca="false">SUMIFS(Lançamentos!$D$5:$D$2004,Lançamentos!$B$5:$B$2004,L$4,Lançamentos!$G$5:$G$2004,$A37)</f>
        <v>0</v>
      </c>
      <c r="M37" s="7" t="n">
        <f aca="false">SUMIFS(Lançamentos!$D$5:$D$2004,Lançamentos!$B$5:$B$2004,M$4,Lançamentos!$G$5:$G$2004,$A37)</f>
        <v>0</v>
      </c>
      <c r="N37" s="7" t="n">
        <f aca="false">SUMIFS(Lançamentos!$D$5:$D$2004,Lançamentos!$B$5:$B$2004,N$4,Lançamentos!$G$5:$G$2004,$A37)</f>
        <v>0</v>
      </c>
      <c r="O37" s="7" t="n">
        <f aca="false">SUMIFS(Lançamentos!$D$5:$D$2004,Lançamentos!$B$5:$B$2004,O$4,Lançamentos!$G$5:$G$2004,$A37)</f>
        <v>0</v>
      </c>
      <c r="P37" s="7" t="n">
        <f aca="false">SUMIFS(Lançamentos!$D$5:$D$2004,Lançamentos!$B$5:$B$2004,P$4,Lançamentos!$G$5:$G$2004,$A37)</f>
        <v>0</v>
      </c>
      <c r="Q37" s="7" t="n">
        <f aca="false">SUMIFS(Lançamentos!$D$5:$D$2004,Lançamentos!$B$5:$B$2004,Q$4,Lançamentos!$G$5:$G$2004,$A37)</f>
        <v>0</v>
      </c>
      <c r="R37" s="7" t="n">
        <f aca="false">SUMIFS(Lançamentos!$D$5:$D$2004,Lançamentos!$B$5:$B$2004,R$4,Lançamentos!$G$5:$G$2004,$A37)</f>
        <v>0</v>
      </c>
    </row>
    <row r="38" customFormat="false" ht="15" hidden="false" customHeight="false" outlineLevel="0" collapsed="false">
      <c r="A38" s="34" t="n">
        <f aca="false">A37+7</f>
        <v>46524</v>
      </c>
      <c r="B38" s="34" t="n">
        <f aca="false">A38+6</f>
        <v>46530</v>
      </c>
      <c r="C38" s="7" t="n">
        <f aca="false">SUMIFS(Lançamentos!$D$5:$D$2004,Lançamentos!$F$5:$F$2004,"Ganho",Lançamentos!$G$5:$G$2004,$A38)</f>
        <v>0</v>
      </c>
      <c r="D38" s="7" t="n">
        <f aca="false">SUMIFS(Lançamentos!$D$5:$D$2004,Lançamentos!$F$5:$F$2004,"Gasto",Lançamentos!$G$5:$G$2004,$A38)</f>
        <v>0</v>
      </c>
      <c r="E38" s="35" t="n">
        <f aca="false">C38-D38</f>
        <v>0</v>
      </c>
      <c r="F38" s="7" t="n">
        <f aca="false">SUMIFS(Lançamentos!$D$5:$D$2004,Lançamentos!$B$5:$B$2004,F$4,Lançamentos!$G$5:$G$2004,$A38)</f>
        <v>0</v>
      </c>
      <c r="G38" s="7" t="n">
        <f aca="false">SUMIFS(Lançamentos!$D$5:$D$2004,Lançamentos!$B$5:$B$2004,G$4,Lançamentos!$G$5:$G$2004,$A38)</f>
        <v>0</v>
      </c>
      <c r="H38" s="7" t="n">
        <f aca="false">SUMIFS(Lançamentos!$D$5:$D$2004,Lançamentos!$B$5:$B$2004,H$4,Lançamentos!$G$5:$G$2004,$A38)</f>
        <v>0</v>
      </c>
      <c r="I38" s="7" t="n">
        <f aca="false">SUMIFS(Lançamentos!$D$5:$D$2004,Lançamentos!$B$5:$B$2004,I$4,Lançamentos!$G$5:$G$2004,$A38)</f>
        <v>0</v>
      </c>
      <c r="J38" s="7" t="n">
        <f aca="false">SUMIFS(Lançamentos!$D$5:$D$2004,Lançamentos!$B$5:$B$2004,J$4,Lançamentos!$G$5:$G$2004,$A38)</f>
        <v>0</v>
      </c>
      <c r="K38" s="7" t="n">
        <f aca="false">SUMIFS(Lançamentos!$D$5:$D$2004,Lançamentos!$B$5:$B$2004,K$4,Lançamentos!$G$5:$G$2004,$A38)</f>
        <v>0</v>
      </c>
      <c r="L38" s="7" t="n">
        <f aca="false">SUMIFS(Lançamentos!$D$5:$D$2004,Lançamentos!$B$5:$B$2004,L$4,Lançamentos!$G$5:$G$2004,$A38)</f>
        <v>0</v>
      </c>
      <c r="M38" s="7" t="n">
        <f aca="false">SUMIFS(Lançamentos!$D$5:$D$2004,Lançamentos!$B$5:$B$2004,M$4,Lançamentos!$G$5:$G$2004,$A38)</f>
        <v>0</v>
      </c>
      <c r="N38" s="7" t="n">
        <f aca="false">SUMIFS(Lançamentos!$D$5:$D$2004,Lançamentos!$B$5:$B$2004,N$4,Lançamentos!$G$5:$G$2004,$A38)</f>
        <v>0</v>
      </c>
      <c r="O38" s="7" t="n">
        <f aca="false">SUMIFS(Lançamentos!$D$5:$D$2004,Lançamentos!$B$5:$B$2004,O$4,Lançamentos!$G$5:$G$2004,$A38)</f>
        <v>0</v>
      </c>
      <c r="P38" s="7" t="n">
        <f aca="false">SUMIFS(Lançamentos!$D$5:$D$2004,Lançamentos!$B$5:$B$2004,P$4,Lançamentos!$G$5:$G$2004,$A38)</f>
        <v>0</v>
      </c>
      <c r="Q38" s="7" t="n">
        <f aca="false">SUMIFS(Lançamentos!$D$5:$D$2004,Lançamentos!$B$5:$B$2004,Q$4,Lançamentos!$G$5:$G$2004,$A38)</f>
        <v>0</v>
      </c>
      <c r="R38" s="7" t="n">
        <f aca="false">SUMIFS(Lançamentos!$D$5:$D$2004,Lançamentos!$B$5:$B$2004,R$4,Lançamentos!$G$5:$G$2004,$A38)</f>
        <v>0</v>
      </c>
    </row>
    <row r="39" customFormat="false" ht="15" hidden="false" customHeight="false" outlineLevel="0" collapsed="false">
      <c r="A39" s="34" t="n">
        <f aca="false">A38+7</f>
        <v>46531</v>
      </c>
      <c r="B39" s="34" t="n">
        <f aca="false">A39+6</f>
        <v>46537</v>
      </c>
      <c r="C39" s="7" t="n">
        <f aca="false">SUMIFS(Lançamentos!$D$5:$D$2004,Lançamentos!$F$5:$F$2004,"Ganho",Lançamentos!$G$5:$G$2004,$A39)</f>
        <v>0</v>
      </c>
      <c r="D39" s="7" t="n">
        <f aca="false">SUMIFS(Lançamentos!$D$5:$D$2004,Lançamentos!$F$5:$F$2004,"Gasto",Lançamentos!$G$5:$G$2004,$A39)</f>
        <v>0</v>
      </c>
      <c r="E39" s="35" t="n">
        <f aca="false">C39-D39</f>
        <v>0</v>
      </c>
      <c r="F39" s="7" t="n">
        <f aca="false">SUMIFS(Lançamentos!$D$5:$D$2004,Lançamentos!$B$5:$B$2004,F$4,Lançamentos!$G$5:$G$2004,$A39)</f>
        <v>0</v>
      </c>
      <c r="G39" s="7" t="n">
        <f aca="false">SUMIFS(Lançamentos!$D$5:$D$2004,Lançamentos!$B$5:$B$2004,G$4,Lançamentos!$G$5:$G$2004,$A39)</f>
        <v>0</v>
      </c>
      <c r="H39" s="7" t="n">
        <f aca="false">SUMIFS(Lançamentos!$D$5:$D$2004,Lançamentos!$B$5:$B$2004,H$4,Lançamentos!$G$5:$G$2004,$A39)</f>
        <v>0</v>
      </c>
      <c r="I39" s="7" t="n">
        <f aca="false">SUMIFS(Lançamentos!$D$5:$D$2004,Lançamentos!$B$5:$B$2004,I$4,Lançamentos!$G$5:$G$2004,$A39)</f>
        <v>0</v>
      </c>
      <c r="J39" s="7" t="n">
        <f aca="false">SUMIFS(Lançamentos!$D$5:$D$2004,Lançamentos!$B$5:$B$2004,J$4,Lançamentos!$G$5:$G$2004,$A39)</f>
        <v>0</v>
      </c>
      <c r="K39" s="7" t="n">
        <f aca="false">SUMIFS(Lançamentos!$D$5:$D$2004,Lançamentos!$B$5:$B$2004,K$4,Lançamentos!$G$5:$G$2004,$A39)</f>
        <v>0</v>
      </c>
      <c r="L39" s="7" t="n">
        <f aca="false">SUMIFS(Lançamentos!$D$5:$D$2004,Lançamentos!$B$5:$B$2004,L$4,Lançamentos!$G$5:$G$2004,$A39)</f>
        <v>0</v>
      </c>
      <c r="M39" s="7" t="n">
        <f aca="false">SUMIFS(Lançamentos!$D$5:$D$2004,Lançamentos!$B$5:$B$2004,M$4,Lançamentos!$G$5:$G$2004,$A39)</f>
        <v>0</v>
      </c>
      <c r="N39" s="7" t="n">
        <f aca="false">SUMIFS(Lançamentos!$D$5:$D$2004,Lançamentos!$B$5:$B$2004,N$4,Lançamentos!$G$5:$G$2004,$A39)</f>
        <v>0</v>
      </c>
      <c r="O39" s="7" t="n">
        <f aca="false">SUMIFS(Lançamentos!$D$5:$D$2004,Lançamentos!$B$5:$B$2004,O$4,Lançamentos!$G$5:$G$2004,$A39)</f>
        <v>0</v>
      </c>
      <c r="P39" s="7" t="n">
        <f aca="false">SUMIFS(Lançamentos!$D$5:$D$2004,Lançamentos!$B$5:$B$2004,P$4,Lançamentos!$G$5:$G$2004,$A39)</f>
        <v>0</v>
      </c>
      <c r="Q39" s="7" t="n">
        <f aca="false">SUMIFS(Lançamentos!$D$5:$D$2004,Lançamentos!$B$5:$B$2004,Q$4,Lançamentos!$G$5:$G$2004,$A39)</f>
        <v>0</v>
      </c>
      <c r="R39" s="7" t="n">
        <f aca="false">SUMIFS(Lançamentos!$D$5:$D$2004,Lançamentos!$B$5:$B$2004,R$4,Lançamentos!$G$5:$G$2004,$A39)</f>
        <v>0</v>
      </c>
    </row>
    <row r="40" customFormat="false" ht="15" hidden="false" customHeight="false" outlineLevel="0" collapsed="false">
      <c r="A40" s="34" t="n">
        <f aca="false">A39+7</f>
        <v>46538</v>
      </c>
      <c r="B40" s="34" t="n">
        <f aca="false">A40+6</f>
        <v>46544</v>
      </c>
      <c r="C40" s="7" t="n">
        <f aca="false">SUMIFS(Lançamentos!$D$5:$D$2004,Lançamentos!$F$5:$F$2004,"Ganho",Lançamentos!$G$5:$G$2004,$A40)</f>
        <v>0</v>
      </c>
      <c r="D40" s="7" t="n">
        <f aca="false">SUMIFS(Lançamentos!$D$5:$D$2004,Lançamentos!$F$5:$F$2004,"Gasto",Lançamentos!$G$5:$G$2004,$A40)</f>
        <v>0</v>
      </c>
      <c r="E40" s="35" t="n">
        <f aca="false">C40-D40</f>
        <v>0</v>
      </c>
      <c r="F40" s="7" t="n">
        <f aca="false">SUMIFS(Lançamentos!$D$5:$D$2004,Lançamentos!$B$5:$B$2004,F$4,Lançamentos!$G$5:$G$2004,$A40)</f>
        <v>0</v>
      </c>
      <c r="G40" s="7" t="n">
        <f aca="false">SUMIFS(Lançamentos!$D$5:$D$2004,Lançamentos!$B$5:$B$2004,G$4,Lançamentos!$G$5:$G$2004,$A40)</f>
        <v>0</v>
      </c>
      <c r="H40" s="7" t="n">
        <f aca="false">SUMIFS(Lançamentos!$D$5:$D$2004,Lançamentos!$B$5:$B$2004,H$4,Lançamentos!$G$5:$G$2004,$A40)</f>
        <v>0</v>
      </c>
      <c r="I40" s="7" t="n">
        <f aca="false">SUMIFS(Lançamentos!$D$5:$D$2004,Lançamentos!$B$5:$B$2004,I$4,Lançamentos!$G$5:$G$2004,$A40)</f>
        <v>0</v>
      </c>
      <c r="J40" s="7" t="n">
        <f aca="false">SUMIFS(Lançamentos!$D$5:$D$2004,Lançamentos!$B$5:$B$2004,J$4,Lançamentos!$G$5:$G$2004,$A40)</f>
        <v>0</v>
      </c>
      <c r="K40" s="7" t="n">
        <f aca="false">SUMIFS(Lançamentos!$D$5:$D$2004,Lançamentos!$B$5:$B$2004,K$4,Lançamentos!$G$5:$G$2004,$A40)</f>
        <v>0</v>
      </c>
      <c r="L40" s="7" t="n">
        <f aca="false">SUMIFS(Lançamentos!$D$5:$D$2004,Lançamentos!$B$5:$B$2004,L$4,Lançamentos!$G$5:$G$2004,$A40)</f>
        <v>0</v>
      </c>
      <c r="M40" s="7" t="n">
        <f aca="false">SUMIFS(Lançamentos!$D$5:$D$2004,Lançamentos!$B$5:$B$2004,M$4,Lançamentos!$G$5:$G$2004,$A40)</f>
        <v>0</v>
      </c>
      <c r="N40" s="7" t="n">
        <f aca="false">SUMIFS(Lançamentos!$D$5:$D$2004,Lançamentos!$B$5:$B$2004,N$4,Lançamentos!$G$5:$G$2004,$A40)</f>
        <v>0</v>
      </c>
      <c r="O40" s="7" t="n">
        <f aca="false">SUMIFS(Lançamentos!$D$5:$D$2004,Lançamentos!$B$5:$B$2004,O$4,Lançamentos!$G$5:$G$2004,$A40)</f>
        <v>0</v>
      </c>
      <c r="P40" s="7" t="n">
        <f aca="false">SUMIFS(Lançamentos!$D$5:$D$2004,Lançamentos!$B$5:$B$2004,P$4,Lançamentos!$G$5:$G$2004,$A40)</f>
        <v>0</v>
      </c>
      <c r="Q40" s="7" t="n">
        <f aca="false">SUMIFS(Lançamentos!$D$5:$D$2004,Lançamentos!$B$5:$B$2004,Q$4,Lançamentos!$G$5:$G$2004,$A40)</f>
        <v>0</v>
      </c>
      <c r="R40" s="7" t="n">
        <f aca="false">SUMIFS(Lançamentos!$D$5:$D$2004,Lançamentos!$B$5:$B$2004,R$4,Lançamentos!$G$5:$G$2004,$A40)</f>
        <v>0</v>
      </c>
    </row>
    <row r="41" customFormat="false" ht="15" hidden="false" customHeight="false" outlineLevel="0" collapsed="false">
      <c r="A41" s="34" t="n">
        <f aca="false">A40+7</f>
        <v>46545</v>
      </c>
      <c r="B41" s="34" t="n">
        <f aca="false">A41+6</f>
        <v>46551</v>
      </c>
      <c r="C41" s="7" t="n">
        <f aca="false">SUMIFS(Lançamentos!$D$5:$D$2004,Lançamentos!$F$5:$F$2004,"Ganho",Lançamentos!$G$5:$G$2004,$A41)</f>
        <v>0</v>
      </c>
      <c r="D41" s="7" t="n">
        <f aca="false">SUMIFS(Lançamentos!$D$5:$D$2004,Lançamentos!$F$5:$F$2004,"Gasto",Lançamentos!$G$5:$G$2004,$A41)</f>
        <v>0</v>
      </c>
      <c r="E41" s="35" t="n">
        <f aca="false">C41-D41</f>
        <v>0</v>
      </c>
      <c r="F41" s="7" t="n">
        <f aca="false">SUMIFS(Lançamentos!$D$5:$D$2004,Lançamentos!$B$5:$B$2004,F$4,Lançamentos!$G$5:$G$2004,$A41)</f>
        <v>0</v>
      </c>
      <c r="G41" s="7" t="n">
        <f aca="false">SUMIFS(Lançamentos!$D$5:$D$2004,Lançamentos!$B$5:$B$2004,G$4,Lançamentos!$G$5:$G$2004,$A41)</f>
        <v>0</v>
      </c>
      <c r="H41" s="7" t="n">
        <f aca="false">SUMIFS(Lançamentos!$D$5:$D$2004,Lançamentos!$B$5:$B$2004,H$4,Lançamentos!$G$5:$G$2004,$A41)</f>
        <v>0</v>
      </c>
      <c r="I41" s="7" t="n">
        <f aca="false">SUMIFS(Lançamentos!$D$5:$D$2004,Lançamentos!$B$5:$B$2004,I$4,Lançamentos!$G$5:$G$2004,$A41)</f>
        <v>0</v>
      </c>
      <c r="J41" s="7" t="n">
        <f aca="false">SUMIFS(Lançamentos!$D$5:$D$2004,Lançamentos!$B$5:$B$2004,J$4,Lançamentos!$G$5:$G$2004,$A41)</f>
        <v>0</v>
      </c>
      <c r="K41" s="7" t="n">
        <f aca="false">SUMIFS(Lançamentos!$D$5:$D$2004,Lançamentos!$B$5:$B$2004,K$4,Lançamentos!$G$5:$G$2004,$A41)</f>
        <v>0</v>
      </c>
      <c r="L41" s="7" t="n">
        <f aca="false">SUMIFS(Lançamentos!$D$5:$D$2004,Lançamentos!$B$5:$B$2004,L$4,Lançamentos!$G$5:$G$2004,$A41)</f>
        <v>0</v>
      </c>
      <c r="M41" s="7" t="n">
        <f aca="false">SUMIFS(Lançamentos!$D$5:$D$2004,Lançamentos!$B$5:$B$2004,M$4,Lançamentos!$G$5:$G$2004,$A41)</f>
        <v>0</v>
      </c>
      <c r="N41" s="7" t="n">
        <f aca="false">SUMIFS(Lançamentos!$D$5:$D$2004,Lançamentos!$B$5:$B$2004,N$4,Lançamentos!$G$5:$G$2004,$A41)</f>
        <v>0</v>
      </c>
      <c r="O41" s="7" t="n">
        <f aca="false">SUMIFS(Lançamentos!$D$5:$D$2004,Lançamentos!$B$5:$B$2004,O$4,Lançamentos!$G$5:$G$2004,$A41)</f>
        <v>0</v>
      </c>
      <c r="P41" s="7" t="n">
        <f aca="false">SUMIFS(Lançamentos!$D$5:$D$2004,Lançamentos!$B$5:$B$2004,P$4,Lançamentos!$G$5:$G$2004,$A41)</f>
        <v>0</v>
      </c>
      <c r="Q41" s="7" t="n">
        <f aca="false">SUMIFS(Lançamentos!$D$5:$D$2004,Lançamentos!$B$5:$B$2004,Q$4,Lançamentos!$G$5:$G$2004,$A41)</f>
        <v>0</v>
      </c>
      <c r="R41" s="7" t="n">
        <f aca="false">SUMIFS(Lançamentos!$D$5:$D$2004,Lançamentos!$B$5:$B$2004,R$4,Lançamentos!$G$5:$G$2004,$A41)</f>
        <v>0</v>
      </c>
    </row>
    <row r="42" customFormat="false" ht="15" hidden="false" customHeight="false" outlineLevel="0" collapsed="false">
      <c r="A42" s="34" t="n">
        <f aca="false">A41+7</f>
        <v>46552</v>
      </c>
      <c r="B42" s="34" t="n">
        <f aca="false">A42+6</f>
        <v>46558</v>
      </c>
      <c r="C42" s="7" t="n">
        <f aca="false">SUMIFS(Lançamentos!$D$5:$D$2004,Lançamentos!$F$5:$F$2004,"Ganho",Lançamentos!$G$5:$G$2004,$A42)</f>
        <v>0</v>
      </c>
      <c r="D42" s="7" t="n">
        <f aca="false">SUMIFS(Lançamentos!$D$5:$D$2004,Lançamentos!$F$5:$F$2004,"Gasto",Lançamentos!$G$5:$G$2004,$A42)</f>
        <v>0</v>
      </c>
      <c r="E42" s="35" t="n">
        <f aca="false">C42-D42</f>
        <v>0</v>
      </c>
      <c r="F42" s="7" t="n">
        <f aca="false">SUMIFS(Lançamentos!$D$5:$D$2004,Lançamentos!$B$5:$B$2004,F$4,Lançamentos!$G$5:$G$2004,$A42)</f>
        <v>0</v>
      </c>
      <c r="G42" s="7" t="n">
        <f aca="false">SUMIFS(Lançamentos!$D$5:$D$2004,Lançamentos!$B$5:$B$2004,G$4,Lançamentos!$G$5:$G$2004,$A42)</f>
        <v>0</v>
      </c>
      <c r="H42" s="7" t="n">
        <f aca="false">SUMIFS(Lançamentos!$D$5:$D$2004,Lançamentos!$B$5:$B$2004,H$4,Lançamentos!$G$5:$G$2004,$A42)</f>
        <v>0</v>
      </c>
      <c r="I42" s="7" t="n">
        <f aca="false">SUMIFS(Lançamentos!$D$5:$D$2004,Lançamentos!$B$5:$B$2004,I$4,Lançamentos!$G$5:$G$2004,$A42)</f>
        <v>0</v>
      </c>
      <c r="J42" s="7" t="n">
        <f aca="false">SUMIFS(Lançamentos!$D$5:$D$2004,Lançamentos!$B$5:$B$2004,J$4,Lançamentos!$G$5:$G$2004,$A42)</f>
        <v>0</v>
      </c>
      <c r="K42" s="7" t="n">
        <f aca="false">SUMIFS(Lançamentos!$D$5:$D$2004,Lançamentos!$B$5:$B$2004,K$4,Lançamentos!$G$5:$G$2004,$A42)</f>
        <v>0</v>
      </c>
      <c r="L42" s="7" t="n">
        <f aca="false">SUMIFS(Lançamentos!$D$5:$D$2004,Lançamentos!$B$5:$B$2004,L$4,Lançamentos!$G$5:$G$2004,$A42)</f>
        <v>0</v>
      </c>
      <c r="M42" s="7" t="n">
        <f aca="false">SUMIFS(Lançamentos!$D$5:$D$2004,Lançamentos!$B$5:$B$2004,M$4,Lançamentos!$G$5:$G$2004,$A42)</f>
        <v>0</v>
      </c>
      <c r="N42" s="7" t="n">
        <f aca="false">SUMIFS(Lançamentos!$D$5:$D$2004,Lançamentos!$B$5:$B$2004,N$4,Lançamentos!$G$5:$G$2004,$A42)</f>
        <v>0</v>
      </c>
      <c r="O42" s="7" t="n">
        <f aca="false">SUMIFS(Lançamentos!$D$5:$D$2004,Lançamentos!$B$5:$B$2004,O$4,Lançamentos!$G$5:$G$2004,$A42)</f>
        <v>0</v>
      </c>
      <c r="P42" s="7" t="n">
        <f aca="false">SUMIFS(Lançamentos!$D$5:$D$2004,Lançamentos!$B$5:$B$2004,P$4,Lançamentos!$G$5:$G$2004,$A42)</f>
        <v>0</v>
      </c>
      <c r="Q42" s="7" t="n">
        <f aca="false">SUMIFS(Lançamentos!$D$5:$D$2004,Lançamentos!$B$5:$B$2004,Q$4,Lançamentos!$G$5:$G$2004,$A42)</f>
        <v>0</v>
      </c>
      <c r="R42" s="7" t="n">
        <f aca="false">SUMIFS(Lançamentos!$D$5:$D$2004,Lançamentos!$B$5:$B$2004,R$4,Lançamentos!$G$5:$G$2004,$A42)</f>
        <v>0</v>
      </c>
    </row>
    <row r="43" customFormat="false" ht="15" hidden="false" customHeight="false" outlineLevel="0" collapsed="false">
      <c r="A43" s="34" t="n">
        <f aca="false">A42+7</f>
        <v>46559</v>
      </c>
      <c r="B43" s="34" t="n">
        <f aca="false">A43+6</f>
        <v>46565</v>
      </c>
      <c r="C43" s="7" t="n">
        <f aca="false">SUMIFS(Lançamentos!$D$5:$D$2004,Lançamentos!$F$5:$F$2004,"Ganho",Lançamentos!$G$5:$G$2004,$A43)</f>
        <v>0</v>
      </c>
      <c r="D43" s="7" t="n">
        <f aca="false">SUMIFS(Lançamentos!$D$5:$D$2004,Lançamentos!$F$5:$F$2004,"Gasto",Lançamentos!$G$5:$G$2004,$A43)</f>
        <v>0</v>
      </c>
      <c r="E43" s="35" t="n">
        <f aca="false">C43-D43</f>
        <v>0</v>
      </c>
      <c r="F43" s="7" t="n">
        <f aca="false">SUMIFS(Lançamentos!$D$5:$D$2004,Lançamentos!$B$5:$B$2004,F$4,Lançamentos!$G$5:$G$2004,$A43)</f>
        <v>0</v>
      </c>
      <c r="G43" s="7" t="n">
        <f aca="false">SUMIFS(Lançamentos!$D$5:$D$2004,Lançamentos!$B$5:$B$2004,G$4,Lançamentos!$G$5:$G$2004,$A43)</f>
        <v>0</v>
      </c>
      <c r="H43" s="7" t="n">
        <f aca="false">SUMIFS(Lançamentos!$D$5:$D$2004,Lançamentos!$B$5:$B$2004,H$4,Lançamentos!$G$5:$G$2004,$A43)</f>
        <v>0</v>
      </c>
      <c r="I43" s="7" t="n">
        <f aca="false">SUMIFS(Lançamentos!$D$5:$D$2004,Lançamentos!$B$5:$B$2004,I$4,Lançamentos!$G$5:$G$2004,$A43)</f>
        <v>0</v>
      </c>
      <c r="J43" s="7" t="n">
        <f aca="false">SUMIFS(Lançamentos!$D$5:$D$2004,Lançamentos!$B$5:$B$2004,J$4,Lançamentos!$G$5:$G$2004,$A43)</f>
        <v>0</v>
      </c>
      <c r="K43" s="7" t="n">
        <f aca="false">SUMIFS(Lançamentos!$D$5:$D$2004,Lançamentos!$B$5:$B$2004,K$4,Lançamentos!$G$5:$G$2004,$A43)</f>
        <v>0</v>
      </c>
      <c r="L43" s="7" t="n">
        <f aca="false">SUMIFS(Lançamentos!$D$5:$D$2004,Lançamentos!$B$5:$B$2004,L$4,Lançamentos!$G$5:$G$2004,$A43)</f>
        <v>0</v>
      </c>
      <c r="M43" s="7" t="n">
        <f aca="false">SUMIFS(Lançamentos!$D$5:$D$2004,Lançamentos!$B$5:$B$2004,M$4,Lançamentos!$G$5:$G$2004,$A43)</f>
        <v>0</v>
      </c>
      <c r="N43" s="7" t="n">
        <f aca="false">SUMIFS(Lançamentos!$D$5:$D$2004,Lançamentos!$B$5:$B$2004,N$4,Lançamentos!$G$5:$G$2004,$A43)</f>
        <v>0</v>
      </c>
      <c r="O43" s="7" t="n">
        <f aca="false">SUMIFS(Lançamentos!$D$5:$D$2004,Lançamentos!$B$5:$B$2004,O$4,Lançamentos!$G$5:$G$2004,$A43)</f>
        <v>0</v>
      </c>
      <c r="P43" s="7" t="n">
        <f aca="false">SUMIFS(Lançamentos!$D$5:$D$2004,Lançamentos!$B$5:$B$2004,P$4,Lançamentos!$G$5:$G$2004,$A43)</f>
        <v>0</v>
      </c>
      <c r="Q43" s="7" t="n">
        <f aca="false">SUMIFS(Lançamentos!$D$5:$D$2004,Lançamentos!$B$5:$B$2004,Q$4,Lançamentos!$G$5:$G$2004,$A43)</f>
        <v>0</v>
      </c>
      <c r="R43" s="7" t="n">
        <f aca="false">SUMIFS(Lançamentos!$D$5:$D$2004,Lançamentos!$B$5:$B$2004,R$4,Lançamentos!$G$5:$G$2004,$A43)</f>
        <v>0</v>
      </c>
    </row>
    <row r="44" customFormat="false" ht="15" hidden="false" customHeight="false" outlineLevel="0" collapsed="false">
      <c r="A44" s="34" t="n">
        <f aca="false">A43+7</f>
        <v>46566</v>
      </c>
      <c r="B44" s="34" t="n">
        <f aca="false">A44+6</f>
        <v>46572</v>
      </c>
      <c r="C44" s="7" t="n">
        <f aca="false">SUMIFS(Lançamentos!$D$5:$D$2004,Lançamentos!$F$5:$F$2004,"Ganho",Lançamentos!$G$5:$G$2004,$A44)</f>
        <v>0</v>
      </c>
      <c r="D44" s="7" t="n">
        <f aca="false">SUMIFS(Lançamentos!$D$5:$D$2004,Lançamentos!$F$5:$F$2004,"Gasto",Lançamentos!$G$5:$G$2004,$A44)</f>
        <v>0</v>
      </c>
      <c r="E44" s="35" t="n">
        <f aca="false">C44-D44</f>
        <v>0</v>
      </c>
      <c r="F44" s="7" t="n">
        <f aca="false">SUMIFS(Lançamentos!$D$5:$D$2004,Lançamentos!$B$5:$B$2004,F$4,Lançamentos!$G$5:$G$2004,$A44)</f>
        <v>0</v>
      </c>
      <c r="G44" s="7" t="n">
        <f aca="false">SUMIFS(Lançamentos!$D$5:$D$2004,Lançamentos!$B$5:$B$2004,G$4,Lançamentos!$G$5:$G$2004,$A44)</f>
        <v>0</v>
      </c>
      <c r="H44" s="7" t="n">
        <f aca="false">SUMIFS(Lançamentos!$D$5:$D$2004,Lançamentos!$B$5:$B$2004,H$4,Lançamentos!$G$5:$G$2004,$A44)</f>
        <v>0</v>
      </c>
      <c r="I44" s="7" t="n">
        <f aca="false">SUMIFS(Lançamentos!$D$5:$D$2004,Lançamentos!$B$5:$B$2004,I$4,Lançamentos!$G$5:$G$2004,$A44)</f>
        <v>0</v>
      </c>
      <c r="J44" s="7" t="n">
        <f aca="false">SUMIFS(Lançamentos!$D$5:$D$2004,Lançamentos!$B$5:$B$2004,J$4,Lançamentos!$G$5:$G$2004,$A44)</f>
        <v>0</v>
      </c>
      <c r="K44" s="7" t="n">
        <f aca="false">SUMIFS(Lançamentos!$D$5:$D$2004,Lançamentos!$B$5:$B$2004,K$4,Lançamentos!$G$5:$G$2004,$A44)</f>
        <v>0</v>
      </c>
      <c r="L44" s="7" t="n">
        <f aca="false">SUMIFS(Lançamentos!$D$5:$D$2004,Lançamentos!$B$5:$B$2004,L$4,Lançamentos!$G$5:$G$2004,$A44)</f>
        <v>0</v>
      </c>
      <c r="M44" s="7" t="n">
        <f aca="false">SUMIFS(Lançamentos!$D$5:$D$2004,Lançamentos!$B$5:$B$2004,M$4,Lançamentos!$G$5:$G$2004,$A44)</f>
        <v>0</v>
      </c>
      <c r="N44" s="7" t="n">
        <f aca="false">SUMIFS(Lançamentos!$D$5:$D$2004,Lançamentos!$B$5:$B$2004,N$4,Lançamentos!$G$5:$G$2004,$A44)</f>
        <v>0</v>
      </c>
      <c r="O44" s="7" t="n">
        <f aca="false">SUMIFS(Lançamentos!$D$5:$D$2004,Lançamentos!$B$5:$B$2004,O$4,Lançamentos!$G$5:$G$2004,$A44)</f>
        <v>0</v>
      </c>
      <c r="P44" s="7" t="n">
        <f aca="false">SUMIFS(Lançamentos!$D$5:$D$2004,Lançamentos!$B$5:$B$2004,P$4,Lançamentos!$G$5:$G$2004,$A44)</f>
        <v>0</v>
      </c>
      <c r="Q44" s="7" t="n">
        <f aca="false">SUMIFS(Lançamentos!$D$5:$D$2004,Lançamentos!$B$5:$B$2004,Q$4,Lançamentos!$G$5:$G$2004,$A44)</f>
        <v>0</v>
      </c>
      <c r="R44" s="7" t="n">
        <f aca="false">SUMIFS(Lançamentos!$D$5:$D$2004,Lançamentos!$B$5:$B$2004,R$4,Lançamentos!$G$5:$G$2004,$A44)</f>
        <v>0</v>
      </c>
    </row>
    <row r="45" customFormat="false" ht="15" hidden="false" customHeight="false" outlineLevel="0" collapsed="false">
      <c r="A45" s="34" t="n">
        <f aca="false">A44+7</f>
        <v>46573</v>
      </c>
      <c r="B45" s="34" t="n">
        <f aca="false">A45+6</f>
        <v>46579</v>
      </c>
      <c r="C45" s="7" t="n">
        <f aca="false">SUMIFS(Lançamentos!$D$5:$D$2004,Lançamentos!$F$5:$F$2004,"Ganho",Lançamentos!$G$5:$G$2004,$A45)</f>
        <v>0</v>
      </c>
      <c r="D45" s="7" t="n">
        <f aca="false">SUMIFS(Lançamentos!$D$5:$D$2004,Lançamentos!$F$5:$F$2004,"Gasto",Lançamentos!$G$5:$G$2004,$A45)</f>
        <v>0</v>
      </c>
      <c r="E45" s="35" t="n">
        <f aca="false">C45-D45</f>
        <v>0</v>
      </c>
      <c r="F45" s="7" t="n">
        <f aca="false">SUMIFS(Lançamentos!$D$5:$D$2004,Lançamentos!$B$5:$B$2004,F$4,Lançamentos!$G$5:$G$2004,$A45)</f>
        <v>0</v>
      </c>
      <c r="G45" s="7" t="n">
        <f aca="false">SUMIFS(Lançamentos!$D$5:$D$2004,Lançamentos!$B$5:$B$2004,G$4,Lançamentos!$G$5:$G$2004,$A45)</f>
        <v>0</v>
      </c>
      <c r="H45" s="7" t="n">
        <f aca="false">SUMIFS(Lançamentos!$D$5:$D$2004,Lançamentos!$B$5:$B$2004,H$4,Lançamentos!$G$5:$G$2004,$A45)</f>
        <v>0</v>
      </c>
      <c r="I45" s="7" t="n">
        <f aca="false">SUMIFS(Lançamentos!$D$5:$D$2004,Lançamentos!$B$5:$B$2004,I$4,Lançamentos!$G$5:$G$2004,$A45)</f>
        <v>0</v>
      </c>
      <c r="J45" s="7" t="n">
        <f aca="false">SUMIFS(Lançamentos!$D$5:$D$2004,Lançamentos!$B$5:$B$2004,J$4,Lançamentos!$G$5:$G$2004,$A45)</f>
        <v>0</v>
      </c>
      <c r="K45" s="7" t="n">
        <f aca="false">SUMIFS(Lançamentos!$D$5:$D$2004,Lançamentos!$B$5:$B$2004,K$4,Lançamentos!$G$5:$G$2004,$A45)</f>
        <v>0</v>
      </c>
      <c r="L45" s="7" t="n">
        <f aca="false">SUMIFS(Lançamentos!$D$5:$D$2004,Lançamentos!$B$5:$B$2004,L$4,Lançamentos!$G$5:$G$2004,$A45)</f>
        <v>0</v>
      </c>
      <c r="M45" s="7" t="n">
        <f aca="false">SUMIFS(Lançamentos!$D$5:$D$2004,Lançamentos!$B$5:$B$2004,M$4,Lançamentos!$G$5:$G$2004,$A45)</f>
        <v>0</v>
      </c>
      <c r="N45" s="7" t="n">
        <f aca="false">SUMIFS(Lançamentos!$D$5:$D$2004,Lançamentos!$B$5:$B$2004,N$4,Lançamentos!$G$5:$G$2004,$A45)</f>
        <v>0</v>
      </c>
      <c r="O45" s="7" t="n">
        <f aca="false">SUMIFS(Lançamentos!$D$5:$D$2004,Lançamentos!$B$5:$B$2004,O$4,Lançamentos!$G$5:$G$2004,$A45)</f>
        <v>0</v>
      </c>
      <c r="P45" s="7" t="n">
        <f aca="false">SUMIFS(Lançamentos!$D$5:$D$2004,Lançamentos!$B$5:$B$2004,P$4,Lançamentos!$G$5:$G$2004,$A45)</f>
        <v>0</v>
      </c>
      <c r="Q45" s="7" t="n">
        <f aca="false">SUMIFS(Lançamentos!$D$5:$D$2004,Lançamentos!$B$5:$B$2004,Q$4,Lançamentos!$G$5:$G$2004,$A45)</f>
        <v>0</v>
      </c>
      <c r="R45" s="7" t="n">
        <f aca="false">SUMIFS(Lançamentos!$D$5:$D$2004,Lançamentos!$B$5:$B$2004,R$4,Lançamentos!$G$5:$G$2004,$A45)</f>
        <v>0</v>
      </c>
    </row>
    <row r="46" customFormat="false" ht="15" hidden="false" customHeight="false" outlineLevel="0" collapsed="false">
      <c r="A46" s="34" t="n">
        <f aca="false">A45+7</f>
        <v>46580</v>
      </c>
      <c r="B46" s="34" t="n">
        <f aca="false">A46+6</f>
        <v>46586</v>
      </c>
      <c r="C46" s="7" t="n">
        <f aca="false">SUMIFS(Lançamentos!$D$5:$D$2004,Lançamentos!$F$5:$F$2004,"Ganho",Lançamentos!$G$5:$G$2004,$A46)</f>
        <v>0</v>
      </c>
      <c r="D46" s="7" t="n">
        <f aca="false">SUMIFS(Lançamentos!$D$5:$D$2004,Lançamentos!$F$5:$F$2004,"Gasto",Lançamentos!$G$5:$G$2004,$A46)</f>
        <v>0</v>
      </c>
      <c r="E46" s="35" t="n">
        <f aca="false">C46-D46</f>
        <v>0</v>
      </c>
      <c r="F46" s="7" t="n">
        <f aca="false">SUMIFS(Lançamentos!$D$5:$D$2004,Lançamentos!$B$5:$B$2004,F$4,Lançamentos!$G$5:$G$2004,$A46)</f>
        <v>0</v>
      </c>
      <c r="G46" s="7" t="n">
        <f aca="false">SUMIFS(Lançamentos!$D$5:$D$2004,Lançamentos!$B$5:$B$2004,G$4,Lançamentos!$G$5:$G$2004,$A46)</f>
        <v>0</v>
      </c>
      <c r="H46" s="7" t="n">
        <f aca="false">SUMIFS(Lançamentos!$D$5:$D$2004,Lançamentos!$B$5:$B$2004,H$4,Lançamentos!$G$5:$G$2004,$A46)</f>
        <v>0</v>
      </c>
      <c r="I46" s="7" t="n">
        <f aca="false">SUMIFS(Lançamentos!$D$5:$D$2004,Lançamentos!$B$5:$B$2004,I$4,Lançamentos!$G$5:$G$2004,$A46)</f>
        <v>0</v>
      </c>
      <c r="J46" s="7" t="n">
        <f aca="false">SUMIFS(Lançamentos!$D$5:$D$2004,Lançamentos!$B$5:$B$2004,J$4,Lançamentos!$G$5:$G$2004,$A46)</f>
        <v>0</v>
      </c>
      <c r="K46" s="7" t="n">
        <f aca="false">SUMIFS(Lançamentos!$D$5:$D$2004,Lançamentos!$B$5:$B$2004,K$4,Lançamentos!$G$5:$G$2004,$A46)</f>
        <v>0</v>
      </c>
      <c r="L46" s="7" t="n">
        <f aca="false">SUMIFS(Lançamentos!$D$5:$D$2004,Lançamentos!$B$5:$B$2004,L$4,Lançamentos!$G$5:$G$2004,$A46)</f>
        <v>0</v>
      </c>
      <c r="M46" s="7" t="n">
        <f aca="false">SUMIFS(Lançamentos!$D$5:$D$2004,Lançamentos!$B$5:$B$2004,M$4,Lançamentos!$G$5:$G$2004,$A46)</f>
        <v>0</v>
      </c>
      <c r="N46" s="7" t="n">
        <f aca="false">SUMIFS(Lançamentos!$D$5:$D$2004,Lançamentos!$B$5:$B$2004,N$4,Lançamentos!$G$5:$G$2004,$A46)</f>
        <v>0</v>
      </c>
      <c r="O46" s="7" t="n">
        <f aca="false">SUMIFS(Lançamentos!$D$5:$D$2004,Lançamentos!$B$5:$B$2004,O$4,Lançamentos!$G$5:$G$2004,$A46)</f>
        <v>0</v>
      </c>
      <c r="P46" s="7" t="n">
        <f aca="false">SUMIFS(Lançamentos!$D$5:$D$2004,Lançamentos!$B$5:$B$2004,P$4,Lançamentos!$G$5:$G$2004,$A46)</f>
        <v>0</v>
      </c>
      <c r="Q46" s="7" t="n">
        <f aca="false">SUMIFS(Lançamentos!$D$5:$D$2004,Lançamentos!$B$5:$B$2004,Q$4,Lançamentos!$G$5:$G$2004,$A46)</f>
        <v>0</v>
      </c>
      <c r="R46" s="7" t="n">
        <f aca="false">SUMIFS(Lançamentos!$D$5:$D$2004,Lançamentos!$B$5:$B$2004,R$4,Lançamentos!$G$5:$G$2004,$A46)</f>
        <v>0</v>
      </c>
    </row>
    <row r="47" customFormat="false" ht="15" hidden="false" customHeight="false" outlineLevel="0" collapsed="false">
      <c r="A47" s="34" t="n">
        <f aca="false">A46+7</f>
        <v>46587</v>
      </c>
      <c r="B47" s="34" t="n">
        <f aca="false">A47+6</f>
        <v>46593</v>
      </c>
      <c r="C47" s="7" t="n">
        <f aca="false">SUMIFS(Lançamentos!$D$5:$D$2004,Lançamentos!$F$5:$F$2004,"Ganho",Lançamentos!$G$5:$G$2004,$A47)</f>
        <v>0</v>
      </c>
      <c r="D47" s="7" t="n">
        <f aca="false">SUMIFS(Lançamentos!$D$5:$D$2004,Lançamentos!$F$5:$F$2004,"Gasto",Lançamentos!$G$5:$G$2004,$A47)</f>
        <v>0</v>
      </c>
      <c r="E47" s="35" t="n">
        <f aca="false">C47-D47</f>
        <v>0</v>
      </c>
      <c r="F47" s="7" t="n">
        <f aca="false">SUMIFS(Lançamentos!$D$5:$D$2004,Lançamentos!$B$5:$B$2004,F$4,Lançamentos!$G$5:$G$2004,$A47)</f>
        <v>0</v>
      </c>
      <c r="G47" s="7" t="n">
        <f aca="false">SUMIFS(Lançamentos!$D$5:$D$2004,Lançamentos!$B$5:$B$2004,G$4,Lançamentos!$G$5:$G$2004,$A47)</f>
        <v>0</v>
      </c>
      <c r="H47" s="7" t="n">
        <f aca="false">SUMIFS(Lançamentos!$D$5:$D$2004,Lançamentos!$B$5:$B$2004,H$4,Lançamentos!$G$5:$G$2004,$A47)</f>
        <v>0</v>
      </c>
      <c r="I47" s="7" t="n">
        <f aca="false">SUMIFS(Lançamentos!$D$5:$D$2004,Lançamentos!$B$5:$B$2004,I$4,Lançamentos!$G$5:$G$2004,$A47)</f>
        <v>0</v>
      </c>
      <c r="J47" s="7" t="n">
        <f aca="false">SUMIFS(Lançamentos!$D$5:$D$2004,Lançamentos!$B$5:$B$2004,J$4,Lançamentos!$G$5:$G$2004,$A47)</f>
        <v>0</v>
      </c>
      <c r="K47" s="7" t="n">
        <f aca="false">SUMIFS(Lançamentos!$D$5:$D$2004,Lançamentos!$B$5:$B$2004,K$4,Lançamentos!$G$5:$G$2004,$A47)</f>
        <v>0</v>
      </c>
      <c r="L47" s="7" t="n">
        <f aca="false">SUMIFS(Lançamentos!$D$5:$D$2004,Lançamentos!$B$5:$B$2004,L$4,Lançamentos!$G$5:$G$2004,$A47)</f>
        <v>0</v>
      </c>
      <c r="M47" s="7" t="n">
        <f aca="false">SUMIFS(Lançamentos!$D$5:$D$2004,Lançamentos!$B$5:$B$2004,M$4,Lançamentos!$G$5:$G$2004,$A47)</f>
        <v>0</v>
      </c>
      <c r="N47" s="7" t="n">
        <f aca="false">SUMIFS(Lançamentos!$D$5:$D$2004,Lançamentos!$B$5:$B$2004,N$4,Lançamentos!$G$5:$G$2004,$A47)</f>
        <v>0</v>
      </c>
      <c r="O47" s="7" t="n">
        <f aca="false">SUMIFS(Lançamentos!$D$5:$D$2004,Lançamentos!$B$5:$B$2004,O$4,Lançamentos!$G$5:$G$2004,$A47)</f>
        <v>0</v>
      </c>
      <c r="P47" s="7" t="n">
        <f aca="false">SUMIFS(Lançamentos!$D$5:$D$2004,Lançamentos!$B$5:$B$2004,P$4,Lançamentos!$G$5:$G$2004,$A47)</f>
        <v>0</v>
      </c>
      <c r="Q47" s="7" t="n">
        <f aca="false">SUMIFS(Lançamentos!$D$5:$D$2004,Lançamentos!$B$5:$B$2004,Q$4,Lançamentos!$G$5:$G$2004,$A47)</f>
        <v>0</v>
      </c>
      <c r="R47" s="7" t="n">
        <f aca="false">SUMIFS(Lançamentos!$D$5:$D$2004,Lançamentos!$B$5:$B$2004,R$4,Lançamentos!$G$5:$G$2004,$A47)</f>
        <v>0</v>
      </c>
    </row>
    <row r="48" customFormat="false" ht="15" hidden="false" customHeight="false" outlineLevel="0" collapsed="false">
      <c r="A48" s="34" t="n">
        <f aca="false">A47+7</f>
        <v>46594</v>
      </c>
      <c r="B48" s="34" t="n">
        <f aca="false">A48+6</f>
        <v>46600</v>
      </c>
      <c r="C48" s="7" t="n">
        <f aca="false">SUMIFS(Lançamentos!$D$5:$D$2004,Lançamentos!$F$5:$F$2004,"Ganho",Lançamentos!$G$5:$G$2004,$A48)</f>
        <v>0</v>
      </c>
      <c r="D48" s="7" t="n">
        <f aca="false">SUMIFS(Lançamentos!$D$5:$D$2004,Lançamentos!$F$5:$F$2004,"Gasto",Lançamentos!$G$5:$G$2004,$A48)</f>
        <v>0</v>
      </c>
      <c r="E48" s="35" t="n">
        <f aca="false">C48-D48</f>
        <v>0</v>
      </c>
      <c r="F48" s="7" t="n">
        <f aca="false">SUMIFS(Lançamentos!$D$5:$D$2004,Lançamentos!$B$5:$B$2004,F$4,Lançamentos!$G$5:$G$2004,$A48)</f>
        <v>0</v>
      </c>
      <c r="G48" s="7" t="n">
        <f aca="false">SUMIFS(Lançamentos!$D$5:$D$2004,Lançamentos!$B$5:$B$2004,G$4,Lançamentos!$G$5:$G$2004,$A48)</f>
        <v>0</v>
      </c>
      <c r="H48" s="7" t="n">
        <f aca="false">SUMIFS(Lançamentos!$D$5:$D$2004,Lançamentos!$B$5:$B$2004,H$4,Lançamentos!$G$5:$G$2004,$A48)</f>
        <v>0</v>
      </c>
      <c r="I48" s="7" t="n">
        <f aca="false">SUMIFS(Lançamentos!$D$5:$D$2004,Lançamentos!$B$5:$B$2004,I$4,Lançamentos!$G$5:$G$2004,$A48)</f>
        <v>0</v>
      </c>
      <c r="J48" s="7" t="n">
        <f aca="false">SUMIFS(Lançamentos!$D$5:$D$2004,Lançamentos!$B$5:$B$2004,J$4,Lançamentos!$G$5:$G$2004,$A48)</f>
        <v>0</v>
      </c>
      <c r="K48" s="7" t="n">
        <f aca="false">SUMIFS(Lançamentos!$D$5:$D$2004,Lançamentos!$B$5:$B$2004,K$4,Lançamentos!$G$5:$G$2004,$A48)</f>
        <v>0</v>
      </c>
      <c r="L48" s="7" t="n">
        <f aca="false">SUMIFS(Lançamentos!$D$5:$D$2004,Lançamentos!$B$5:$B$2004,L$4,Lançamentos!$G$5:$G$2004,$A48)</f>
        <v>0</v>
      </c>
      <c r="M48" s="7" t="n">
        <f aca="false">SUMIFS(Lançamentos!$D$5:$D$2004,Lançamentos!$B$5:$B$2004,M$4,Lançamentos!$G$5:$G$2004,$A48)</f>
        <v>0</v>
      </c>
      <c r="N48" s="7" t="n">
        <f aca="false">SUMIFS(Lançamentos!$D$5:$D$2004,Lançamentos!$B$5:$B$2004,N$4,Lançamentos!$G$5:$G$2004,$A48)</f>
        <v>0</v>
      </c>
      <c r="O48" s="7" t="n">
        <f aca="false">SUMIFS(Lançamentos!$D$5:$D$2004,Lançamentos!$B$5:$B$2004,O$4,Lançamentos!$G$5:$G$2004,$A48)</f>
        <v>0</v>
      </c>
      <c r="P48" s="7" t="n">
        <f aca="false">SUMIFS(Lançamentos!$D$5:$D$2004,Lançamentos!$B$5:$B$2004,P$4,Lançamentos!$G$5:$G$2004,$A48)</f>
        <v>0</v>
      </c>
      <c r="Q48" s="7" t="n">
        <f aca="false">SUMIFS(Lançamentos!$D$5:$D$2004,Lançamentos!$B$5:$B$2004,Q$4,Lançamentos!$G$5:$G$2004,$A48)</f>
        <v>0</v>
      </c>
      <c r="R48" s="7" t="n">
        <f aca="false">SUMIFS(Lançamentos!$D$5:$D$2004,Lançamentos!$B$5:$B$2004,R$4,Lançamentos!$G$5:$G$2004,$A48)</f>
        <v>0</v>
      </c>
    </row>
    <row r="49" customFormat="false" ht="15" hidden="false" customHeight="false" outlineLevel="0" collapsed="false">
      <c r="A49" s="34" t="n">
        <f aca="false">A48+7</f>
        <v>46601</v>
      </c>
      <c r="B49" s="34" t="n">
        <f aca="false">A49+6</f>
        <v>46607</v>
      </c>
      <c r="C49" s="7" t="n">
        <f aca="false">SUMIFS(Lançamentos!$D$5:$D$2004,Lançamentos!$F$5:$F$2004,"Ganho",Lançamentos!$G$5:$G$2004,$A49)</f>
        <v>0</v>
      </c>
      <c r="D49" s="7" t="n">
        <f aca="false">SUMIFS(Lançamentos!$D$5:$D$2004,Lançamentos!$F$5:$F$2004,"Gasto",Lançamentos!$G$5:$G$2004,$A49)</f>
        <v>0</v>
      </c>
      <c r="E49" s="35" t="n">
        <f aca="false">C49-D49</f>
        <v>0</v>
      </c>
      <c r="F49" s="7" t="n">
        <f aca="false">SUMIFS(Lançamentos!$D$5:$D$2004,Lançamentos!$B$5:$B$2004,F$4,Lançamentos!$G$5:$G$2004,$A49)</f>
        <v>0</v>
      </c>
      <c r="G49" s="7" t="n">
        <f aca="false">SUMIFS(Lançamentos!$D$5:$D$2004,Lançamentos!$B$5:$B$2004,G$4,Lançamentos!$G$5:$G$2004,$A49)</f>
        <v>0</v>
      </c>
      <c r="H49" s="7" t="n">
        <f aca="false">SUMIFS(Lançamentos!$D$5:$D$2004,Lançamentos!$B$5:$B$2004,H$4,Lançamentos!$G$5:$G$2004,$A49)</f>
        <v>0</v>
      </c>
      <c r="I49" s="7" t="n">
        <f aca="false">SUMIFS(Lançamentos!$D$5:$D$2004,Lançamentos!$B$5:$B$2004,I$4,Lançamentos!$G$5:$G$2004,$A49)</f>
        <v>0</v>
      </c>
      <c r="J49" s="7" t="n">
        <f aca="false">SUMIFS(Lançamentos!$D$5:$D$2004,Lançamentos!$B$5:$B$2004,J$4,Lançamentos!$G$5:$G$2004,$A49)</f>
        <v>0</v>
      </c>
      <c r="K49" s="7" t="n">
        <f aca="false">SUMIFS(Lançamentos!$D$5:$D$2004,Lançamentos!$B$5:$B$2004,K$4,Lançamentos!$G$5:$G$2004,$A49)</f>
        <v>0</v>
      </c>
      <c r="L49" s="7" t="n">
        <f aca="false">SUMIFS(Lançamentos!$D$5:$D$2004,Lançamentos!$B$5:$B$2004,L$4,Lançamentos!$G$5:$G$2004,$A49)</f>
        <v>0</v>
      </c>
      <c r="M49" s="7" t="n">
        <f aca="false">SUMIFS(Lançamentos!$D$5:$D$2004,Lançamentos!$B$5:$B$2004,M$4,Lançamentos!$G$5:$G$2004,$A49)</f>
        <v>0</v>
      </c>
      <c r="N49" s="7" t="n">
        <f aca="false">SUMIFS(Lançamentos!$D$5:$D$2004,Lançamentos!$B$5:$B$2004,N$4,Lançamentos!$G$5:$G$2004,$A49)</f>
        <v>0</v>
      </c>
      <c r="O49" s="7" t="n">
        <f aca="false">SUMIFS(Lançamentos!$D$5:$D$2004,Lançamentos!$B$5:$B$2004,O$4,Lançamentos!$G$5:$G$2004,$A49)</f>
        <v>0</v>
      </c>
      <c r="P49" s="7" t="n">
        <f aca="false">SUMIFS(Lançamentos!$D$5:$D$2004,Lançamentos!$B$5:$B$2004,P$4,Lançamentos!$G$5:$G$2004,$A49)</f>
        <v>0</v>
      </c>
      <c r="Q49" s="7" t="n">
        <f aca="false">SUMIFS(Lançamentos!$D$5:$D$2004,Lançamentos!$B$5:$B$2004,Q$4,Lançamentos!$G$5:$G$2004,$A49)</f>
        <v>0</v>
      </c>
      <c r="R49" s="7" t="n">
        <f aca="false">SUMIFS(Lançamentos!$D$5:$D$2004,Lançamentos!$B$5:$B$2004,R$4,Lançamentos!$G$5:$G$2004,$A49)</f>
        <v>0</v>
      </c>
    </row>
    <row r="50" customFormat="false" ht="15" hidden="false" customHeight="false" outlineLevel="0" collapsed="false">
      <c r="A50" s="34" t="n">
        <f aca="false">A49+7</f>
        <v>46608</v>
      </c>
      <c r="B50" s="34" t="n">
        <f aca="false">A50+6</f>
        <v>46614</v>
      </c>
      <c r="C50" s="7" t="n">
        <f aca="false">SUMIFS(Lançamentos!$D$5:$D$2004,Lançamentos!$F$5:$F$2004,"Ganho",Lançamentos!$G$5:$G$2004,$A50)</f>
        <v>0</v>
      </c>
      <c r="D50" s="7" t="n">
        <f aca="false">SUMIFS(Lançamentos!$D$5:$D$2004,Lançamentos!$F$5:$F$2004,"Gasto",Lançamentos!$G$5:$G$2004,$A50)</f>
        <v>0</v>
      </c>
      <c r="E50" s="35" t="n">
        <f aca="false">C50-D50</f>
        <v>0</v>
      </c>
      <c r="F50" s="7" t="n">
        <f aca="false">SUMIFS(Lançamentos!$D$5:$D$2004,Lançamentos!$B$5:$B$2004,F$4,Lançamentos!$G$5:$G$2004,$A50)</f>
        <v>0</v>
      </c>
      <c r="G50" s="7" t="n">
        <f aca="false">SUMIFS(Lançamentos!$D$5:$D$2004,Lançamentos!$B$5:$B$2004,G$4,Lançamentos!$G$5:$G$2004,$A50)</f>
        <v>0</v>
      </c>
      <c r="H50" s="7" t="n">
        <f aca="false">SUMIFS(Lançamentos!$D$5:$D$2004,Lançamentos!$B$5:$B$2004,H$4,Lançamentos!$G$5:$G$2004,$A50)</f>
        <v>0</v>
      </c>
      <c r="I50" s="7" t="n">
        <f aca="false">SUMIFS(Lançamentos!$D$5:$D$2004,Lançamentos!$B$5:$B$2004,I$4,Lançamentos!$G$5:$G$2004,$A50)</f>
        <v>0</v>
      </c>
      <c r="J50" s="7" t="n">
        <f aca="false">SUMIFS(Lançamentos!$D$5:$D$2004,Lançamentos!$B$5:$B$2004,J$4,Lançamentos!$G$5:$G$2004,$A50)</f>
        <v>0</v>
      </c>
      <c r="K50" s="7" t="n">
        <f aca="false">SUMIFS(Lançamentos!$D$5:$D$2004,Lançamentos!$B$5:$B$2004,K$4,Lançamentos!$G$5:$G$2004,$A50)</f>
        <v>0</v>
      </c>
      <c r="L50" s="7" t="n">
        <f aca="false">SUMIFS(Lançamentos!$D$5:$D$2004,Lançamentos!$B$5:$B$2004,L$4,Lançamentos!$G$5:$G$2004,$A50)</f>
        <v>0</v>
      </c>
      <c r="M50" s="7" t="n">
        <f aca="false">SUMIFS(Lançamentos!$D$5:$D$2004,Lançamentos!$B$5:$B$2004,M$4,Lançamentos!$G$5:$G$2004,$A50)</f>
        <v>0</v>
      </c>
      <c r="N50" s="7" t="n">
        <f aca="false">SUMIFS(Lançamentos!$D$5:$D$2004,Lançamentos!$B$5:$B$2004,N$4,Lançamentos!$G$5:$G$2004,$A50)</f>
        <v>0</v>
      </c>
      <c r="O50" s="7" t="n">
        <f aca="false">SUMIFS(Lançamentos!$D$5:$D$2004,Lançamentos!$B$5:$B$2004,O$4,Lançamentos!$G$5:$G$2004,$A50)</f>
        <v>0</v>
      </c>
      <c r="P50" s="7" t="n">
        <f aca="false">SUMIFS(Lançamentos!$D$5:$D$2004,Lançamentos!$B$5:$B$2004,P$4,Lançamentos!$G$5:$G$2004,$A50)</f>
        <v>0</v>
      </c>
      <c r="Q50" s="7" t="n">
        <f aca="false">SUMIFS(Lançamentos!$D$5:$D$2004,Lançamentos!$B$5:$B$2004,Q$4,Lançamentos!$G$5:$G$2004,$A50)</f>
        <v>0</v>
      </c>
      <c r="R50" s="7" t="n">
        <f aca="false">SUMIFS(Lançamentos!$D$5:$D$2004,Lançamentos!$B$5:$B$2004,R$4,Lançamentos!$G$5:$G$2004,$A50)</f>
        <v>0</v>
      </c>
    </row>
    <row r="51" customFormat="false" ht="15" hidden="false" customHeight="false" outlineLevel="0" collapsed="false">
      <c r="A51" s="34" t="n">
        <f aca="false">A50+7</f>
        <v>46615</v>
      </c>
      <c r="B51" s="34" t="n">
        <f aca="false">A51+6</f>
        <v>46621</v>
      </c>
      <c r="C51" s="7" t="n">
        <f aca="false">SUMIFS(Lançamentos!$D$5:$D$2004,Lançamentos!$F$5:$F$2004,"Ganho",Lançamentos!$G$5:$G$2004,$A51)</f>
        <v>0</v>
      </c>
      <c r="D51" s="7" t="n">
        <f aca="false">SUMIFS(Lançamentos!$D$5:$D$2004,Lançamentos!$F$5:$F$2004,"Gasto",Lançamentos!$G$5:$G$2004,$A51)</f>
        <v>0</v>
      </c>
      <c r="E51" s="35" t="n">
        <f aca="false">C51-D51</f>
        <v>0</v>
      </c>
      <c r="F51" s="7" t="n">
        <f aca="false">SUMIFS(Lançamentos!$D$5:$D$2004,Lançamentos!$B$5:$B$2004,F$4,Lançamentos!$G$5:$G$2004,$A51)</f>
        <v>0</v>
      </c>
      <c r="G51" s="7" t="n">
        <f aca="false">SUMIFS(Lançamentos!$D$5:$D$2004,Lançamentos!$B$5:$B$2004,G$4,Lançamentos!$G$5:$G$2004,$A51)</f>
        <v>0</v>
      </c>
      <c r="H51" s="7" t="n">
        <f aca="false">SUMIFS(Lançamentos!$D$5:$D$2004,Lançamentos!$B$5:$B$2004,H$4,Lançamentos!$G$5:$G$2004,$A51)</f>
        <v>0</v>
      </c>
      <c r="I51" s="7" t="n">
        <f aca="false">SUMIFS(Lançamentos!$D$5:$D$2004,Lançamentos!$B$5:$B$2004,I$4,Lançamentos!$G$5:$G$2004,$A51)</f>
        <v>0</v>
      </c>
      <c r="J51" s="7" t="n">
        <f aca="false">SUMIFS(Lançamentos!$D$5:$D$2004,Lançamentos!$B$5:$B$2004,J$4,Lançamentos!$G$5:$G$2004,$A51)</f>
        <v>0</v>
      </c>
      <c r="K51" s="7" t="n">
        <f aca="false">SUMIFS(Lançamentos!$D$5:$D$2004,Lançamentos!$B$5:$B$2004,K$4,Lançamentos!$G$5:$G$2004,$A51)</f>
        <v>0</v>
      </c>
      <c r="L51" s="7" t="n">
        <f aca="false">SUMIFS(Lançamentos!$D$5:$D$2004,Lançamentos!$B$5:$B$2004,L$4,Lançamentos!$G$5:$G$2004,$A51)</f>
        <v>0</v>
      </c>
      <c r="M51" s="7" t="n">
        <f aca="false">SUMIFS(Lançamentos!$D$5:$D$2004,Lançamentos!$B$5:$B$2004,M$4,Lançamentos!$G$5:$G$2004,$A51)</f>
        <v>0</v>
      </c>
      <c r="N51" s="7" t="n">
        <f aca="false">SUMIFS(Lançamentos!$D$5:$D$2004,Lançamentos!$B$5:$B$2004,N$4,Lançamentos!$G$5:$G$2004,$A51)</f>
        <v>0</v>
      </c>
      <c r="O51" s="7" t="n">
        <f aca="false">SUMIFS(Lançamentos!$D$5:$D$2004,Lançamentos!$B$5:$B$2004,O$4,Lançamentos!$G$5:$G$2004,$A51)</f>
        <v>0</v>
      </c>
      <c r="P51" s="7" t="n">
        <f aca="false">SUMIFS(Lançamentos!$D$5:$D$2004,Lançamentos!$B$5:$B$2004,P$4,Lançamentos!$G$5:$G$2004,$A51)</f>
        <v>0</v>
      </c>
      <c r="Q51" s="7" t="n">
        <f aca="false">SUMIFS(Lançamentos!$D$5:$D$2004,Lançamentos!$B$5:$B$2004,Q$4,Lançamentos!$G$5:$G$2004,$A51)</f>
        <v>0</v>
      </c>
      <c r="R51" s="7" t="n">
        <f aca="false">SUMIFS(Lançamentos!$D$5:$D$2004,Lançamentos!$B$5:$B$2004,R$4,Lançamentos!$G$5:$G$2004,$A51)</f>
        <v>0</v>
      </c>
    </row>
    <row r="52" customFormat="false" ht="15" hidden="false" customHeight="false" outlineLevel="0" collapsed="false">
      <c r="A52" s="34" t="n">
        <f aca="false">A51+7</f>
        <v>46622</v>
      </c>
      <c r="B52" s="34" t="n">
        <f aca="false">A52+6</f>
        <v>46628</v>
      </c>
      <c r="C52" s="7" t="n">
        <f aca="false">SUMIFS(Lançamentos!$D$5:$D$2004,Lançamentos!$F$5:$F$2004,"Ganho",Lançamentos!$G$5:$G$2004,$A52)</f>
        <v>0</v>
      </c>
      <c r="D52" s="7" t="n">
        <f aca="false">SUMIFS(Lançamentos!$D$5:$D$2004,Lançamentos!$F$5:$F$2004,"Gasto",Lançamentos!$G$5:$G$2004,$A52)</f>
        <v>0</v>
      </c>
      <c r="E52" s="35" t="n">
        <f aca="false">C52-D52</f>
        <v>0</v>
      </c>
      <c r="F52" s="7" t="n">
        <f aca="false">SUMIFS(Lançamentos!$D$5:$D$2004,Lançamentos!$B$5:$B$2004,F$4,Lançamentos!$G$5:$G$2004,$A52)</f>
        <v>0</v>
      </c>
      <c r="G52" s="7" t="n">
        <f aca="false">SUMIFS(Lançamentos!$D$5:$D$2004,Lançamentos!$B$5:$B$2004,G$4,Lançamentos!$G$5:$G$2004,$A52)</f>
        <v>0</v>
      </c>
      <c r="H52" s="7" t="n">
        <f aca="false">SUMIFS(Lançamentos!$D$5:$D$2004,Lançamentos!$B$5:$B$2004,H$4,Lançamentos!$G$5:$G$2004,$A52)</f>
        <v>0</v>
      </c>
      <c r="I52" s="7" t="n">
        <f aca="false">SUMIFS(Lançamentos!$D$5:$D$2004,Lançamentos!$B$5:$B$2004,I$4,Lançamentos!$G$5:$G$2004,$A52)</f>
        <v>0</v>
      </c>
      <c r="J52" s="7" t="n">
        <f aca="false">SUMIFS(Lançamentos!$D$5:$D$2004,Lançamentos!$B$5:$B$2004,J$4,Lançamentos!$G$5:$G$2004,$A52)</f>
        <v>0</v>
      </c>
      <c r="K52" s="7" t="n">
        <f aca="false">SUMIFS(Lançamentos!$D$5:$D$2004,Lançamentos!$B$5:$B$2004,K$4,Lançamentos!$G$5:$G$2004,$A52)</f>
        <v>0</v>
      </c>
      <c r="L52" s="7" t="n">
        <f aca="false">SUMIFS(Lançamentos!$D$5:$D$2004,Lançamentos!$B$5:$B$2004,L$4,Lançamentos!$G$5:$G$2004,$A52)</f>
        <v>0</v>
      </c>
      <c r="M52" s="7" t="n">
        <f aca="false">SUMIFS(Lançamentos!$D$5:$D$2004,Lançamentos!$B$5:$B$2004,M$4,Lançamentos!$G$5:$G$2004,$A52)</f>
        <v>0</v>
      </c>
      <c r="N52" s="7" t="n">
        <f aca="false">SUMIFS(Lançamentos!$D$5:$D$2004,Lançamentos!$B$5:$B$2004,N$4,Lançamentos!$G$5:$G$2004,$A52)</f>
        <v>0</v>
      </c>
      <c r="O52" s="7" t="n">
        <f aca="false">SUMIFS(Lançamentos!$D$5:$D$2004,Lançamentos!$B$5:$B$2004,O$4,Lançamentos!$G$5:$G$2004,$A52)</f>
        <v>0</v>
      </c>
      <c r="P52" s="7" t="n">
        <f aca="false">SUMIFS(Lançamentos!$D$5:$D$2004,Lançamentos!$B$5:$B$2004,P$4,Lançamentos!$G$5:$G$2004,$A52)</f>
        <v>0</v>
      </c>
      <c r="Q52" s="7" t="n">
        <f aca="false">SUMIFS(Lançamentos!$D$5:$D$2004,Lançamentos!$B$5:$B$2004,Q$4,Lançamentos!$G$5:$G$2004,$A52)</f>
        <v>0</v>
      </c>
      <c r="R52" s="7" t="n">
        <f aca="false">SUMIFS(Lançamentos!$D$5:$D$2004,Lançamentos!$B$5:$B$2004,R$4,Lançamentos!$G$5:$G$2004,$A52)</f>
        <v>0</v>
      </c>
    </row>
    <row r="53" customFormat="false" ht="15" hidden="false" customHeight="false" outlineLevel="0" collapsed="false">
      <c r="A53" s="34" t="n">
        <f aca="false">A52+7</f>
        <v>46629</v>
      </c>
      <c r="B53" s="34" t="n">
        <f aca="false">A53+6</f>
        <v>46635</v>
      </c>
      <c r="C53" s="7" t="n">
        <f aca="false">SUMIFS(Lançamentos!$D$5:$D$2004,Lançamentos!$F$5:$F$2004,"Ganho",Lançamentos!$G$5:$G$2004,$A53)</f>
        <v>0</v>
      </c>
      <c r="D53" s="7" t="n">
        <f aca="false">SUMIFS(Lançamentos!$D$5:$D$2004,Lançamentos!$F$5:$F$2004,"Gasto",Lançamentos!$G$5:$G$2004,$A53)</f>
        <v>0</v>
      </c>
      <c r="E53" s="35" t="n">
        <f aca="false">C53-D53</f>
        <v>0</v>
      </c>
      <c r="F53" s="7" t="n">
        <f aca="false">SUMIFS(Lançamentos!$D$5:$D$2004,Lançamentos!$B$5:$B$2004,F$4,Lançamentos!$G$5:$G$2004,$A53)</f>
        <v>0</v>
      </c>
      <c r="G53" s="7" t="n">
        <f aca="false">SUMIFS(Lançamentos!$D$5:$D$2004,Lançamentos!$B$5:$B$2004,G$4,Lançamentos!$G$5:$G$2004,$A53)</f>
        <v>0</v>
      </c>
      <c r="H53" s="7" t="n">
        <f aca="false">SUMIFS(Lançamentos!$D$5:$D$2004,Lançamentos!$B$5:$B$2004,H$4,Lançamentos!$G$5:$G$2004,$A53)</f>
        <v>0</v>
      </c>
      <c r="I53" s="7" t="n">
        <f aca="false">SUMIFS(Lançamentos!$D$5:$D$2004,Lançamentos!$B$5:$B$2004,I$4,Lançamentos!$G$5:$G$2004,$A53)</f>
        <v>0</v>
      </c>
      <c r="J53" s="7" t="n">
        <f aca="false">SUMIFS(Lançamentos!$D$5:$D$2004,Lançamentos!$B$5:$B$2004,J$4,Lançamentos!$G$5:$G$2004,$A53)</f>
        <v>0</v>
      </c>
      <c r="K53" s="7" t="n">
        <f aca="false">SUMIFS(Lançamentos!$D$5:$D$2004,Lançamentos!$B$5:$B$2004,K$4,Lançamentos!$G$5:$G$2004,$A53)</f>
        <v>0</v>
      </c>
      <c r="L53" s="7" t="n">
        <f aca="false">SUMIFS(Lançamentos!$D$5:$D$2004,Lançamentos!$B$5:$B$2004,L$4,Lançamentos!$G$5:$G$2004,$A53)</f>
        <v>0</v>
      </c>
      <c r="M53" s="7" t="n">
        <f aca="false">SUMIFS(Lançamentos!$D$5:$D$2004,Lançamentos!$B$5:$B$2004,M$4,Lançamentos!$G$5:$G$2004,$A53)</f>
        <v>0</v>
      </c>
      <c r="N53" s="7" t="n">
        <f aca="false">SUMIFS(Lançamentos!$D$5:$D$2004,Lançamentos!$B$5:$B$2004,N$4,Lançamentos!$G$5:$G$2004,$A53)</f>
        <v>0</v>
      </c>
      <c r="O53" s="7" t="n">
        <f aca="false">SUMIFS(Lançamentos!$D$5:$D$2004,Lançamentos!$B$5:$B$2004,O$4,Lançamentos!$G$5:$G$2004,$A53)</f>
        <v>0</v>
      </c>
      <c r="P53" s="7" t="n">
        <f aca="false">SUMIFS(Lançamentos!$D$5:$D$2004,Lançamentos!$B$5:$B$2004,P$4,Lançamentos!$G$5:$G$2004,$A53)</f>
        <v>0</v>
      </c>
      <c r="Q53" s="7" t="n">
        <f aca="false">SUMIFS(Lançamentos!$D$5:$D$2004,Lançamentos!$B$5:$B$2004,Q$4,Lançamentos!$G$5:$G$2004,$A53)</f>
        <v>0</v>
      </c>
      <c r="R53" s="7" t="n">
        <f aca="false">SUMIFS(Lançamentos!$D$5:$D$2004,Lançamentos!$B$5:$B$2004,R$4,Lançamentos!$G$5:$G$2004,$A53)</f>
        <v>0</v>
      </c>
    </row>
    <row r="54" customFormat="false" ht="15" hidden="false" customHeight="false" outlineLevel="0" collapsed="false">
      <c r="A54" s="34" t="n">
        <f aca="false">A53+7</f>
        <v>46636</v>
      </c>
      <c r="B54" s="34" t="n">
        <f aca="false">A54+6</f>
        <v>46642</v>
      </c>
      <c r="C54" s="7" t="n">
        <f aca="false">SUMIFS(Lançamentos!$D$5:$D$2004,Lançamentos!$F$5:$F$2004,"Ganho",Lançamentos!$G$5:$G$2004,$A54)</f>
        <v>0</v>
      </c>
      <c r="D54" s="7" t="n">
        <f aca="false">SUMIFS(Lançamentos!$D$5:$D$2004,Lançamentos!$F$5:$F$2004,"Gasto",Lançamentos!$G$5:$G$2004,$A54)</f>
        <v>0</v>
      </c>
      <c r="E54" s="35" t="n">
        <f aca="false">C54-D54</f>
        <v>0</v>
      </c>
      <c r="F54" s="7" t="n">
        <f aca="false">SUMIFS(Lançamentos!$D$5:$D$2004,Lançamentos!$B$5:$B$2004,F$4,Lançamentos!$G$5:$G$2004,$A54)</f>
        <v>0</v>
      </c>
      <c r="G54" s="7" t="n">
        <f aca="false">SUMIFS(Lançamentos!$D$5:$D$2004,Lançamentos!$B$5:$B$2004,G$4,Lançamentos!$G$5:$G$2004,$A54)</f>
        <v>0</v>
      </c>
      <c r="H54" s="7" t="n">
        <f aca="false">SUMIFS(Lançamentos!$D$5:$D$2004,Lançamentos!$B$5:$B$2004,H$4,Lançamentos!$G$5:$G$2004,$A54)</f>
        <v>0</v>
      </c>
      <c r="I54" s="7" t="n">
        <f aca="false">SUMIFS(Lançamentos!$D$5:$D$2004,Lançamentos!$B$5:$B$2004,I$4,Lançamentos!$G$5:$G$2004,$A54)</f>
        <v>0</v>
      </c>
      <c r="J54" s="7" t="n">
        <f aca="false">SUMIFS(Lançamentos!$D$5:$D$2004,Lançamentos!$B$5:$B$2004,J$4,Lançamentos!$G$5:$G$2004,$A54)</f>
        <v>0</v>
      </c>
      <c r="K54" s="7" t="n">
        <f aca="false">SUMIFS(Lançamentos!$D$5:$D$2004,Lançamentos!$B$5:$B$2004,K$4,Lançamentos!$G$5:$G$2004,$A54)</f>
        <v>0</v>
      </c>
      <c r="L54" s="7" t="n">
        <f aca="false">SUMIFS(Lançamentos!$D$5:$D$2004,Lançamentos!$B$5:$B$2004,L$4,Lançamentos!$G$5:$G$2004,$A54)</f>
        <v>0</v>
      </c>
      <c r="M54" s="7" t="n">
        <f aca="false">SUMIFS(Lançamentos!$D$5:$D$2004,Lançamentos!$B$5:$B$2004,M$4,Lançamentos!$G$5:$G$2004,$A54)</f>
        <v>0</v>
      </c>
      <c r="N54" s="7" t="n">
        <f aca="false">SUMIFS(Lançamentos!$D$5:$D$2004,Lançamentos!$B$5:$B$2004,N$4,Lançamentos!$G$5:$G$2004,$A54)</f>
        <v>0</v>
      </c>
      <c r="O54" s="7" t="n">
        <f aca="false">SUMIFS(Lançamentos!$D$5:$D$2004,Lançamentos!$B$5:$B$2004,O$4,Lançamentos!$G$5:$G$2004,$A54)</f>
        <v>0</v>
      </c>
      <c r="P54" s="7" t="n">
        <f aca="false">SUMIFS(Lançamentos!$D$5:$D$2004,Lançamentos!$B$5:$B$2004,P$4,Lançamentos!$G$5:$G$2004,$A54)</f>
        <v>0</v>
      </c>
      <c r="Q54" s="7" t="n">
        <f aca="false">SUMIFS(Lançamentos!$D$5:$D$2004,Lançamentos!$B$5:$B$2004,Q$4,Lançamentos!$G$5:$G$2004,$A54)</f>
        <v>0</v>
      </c>
      <c r="R54" s="7" t="n">
        <f aca="false">SUMIFS(Lançamentos!$D$5:$D$2004,Lançamentos!$B$5:$B$2004,R$4,Lançamentos!$G$5:$G$2004,$A54)</f>
        <v>0</v>
      </c>
    </row>
    <row r="55" customFormat="false" ht="15" hidden="false" customHeight="false" outlineLevel="0" collapsed="false">
      <c r="A55" s="34" t="n">
        <f aca="false">A54+7</f>
        <v>46643</v>
      </c>
      <c r="B55" s="34" t="n">
        <f aca="false">A55+6</f>
        <v>46649</v>
      </c>
      <c r="C55" s="7" t="n">
        <f aca="false">SUMIFS(Lançamentos!$D$5:$D$2004,Lançamentos!$F$5:$F$2004,"Ganho",Lançamentos!$G$5:$G$2004,$A55)</f>
        <v>0</v>
      </c>
      <c r="D55" s="7" t="n">
        <f aca="false">SUMIFS(Lançamentos!$D$5:$D$2004,Lançamentos!$F$5:$F$2004,"Gasto",Lançamentos!$G$5:$G$2004,$A55)</f>
        <v>0</v>
      </c>
      <c r="E55" s="35" t="n">
        <f aca="false">C55-D55</f>
        <v>0</v>
      </c>
      <c r="F55" s="7" t="n">
        <f aca="false">SUMIFS(Lançamentos!$D$5:$D$2004,Lançamentos!$B$5:$B$2004,F$4,Lançamentos!$G$5:$G$2004,$A55)</f>
        <v>0</v>
      </c>
      <c r="G55" s="7" t="n">
        <f aca="false">SUMIFS(Lançamentos!$D$5:$D$2004,Lançamentos!$B$5:$B$2004,G$4,Lançamentos!$G$5:$G$2004,$A55)</f>
        <v>0</v>
      </c>
      <c r="H55" s="7" t="n">
        <f aca="false">SUMIFS(Lançamentos!$D$5:$D$2004,Lançamentos!$B$5:$B$2004,H$4,Lançamentos!$G$5:$G$2004,$A55)</f>
        <v>0</v>
      </c>
      <c r="I55" s="7" t="n">
        <f aca="false">SUMIFS(Lançamentos!$D$5:$D$2004,Lançamentos!$B$5:$B$2004,I$4,Lançamentos!$G$5:$G$2004,$A55)</f>
        <v>0</v>
      </c>
      <c r="J55" s="7" t="n">
        <f aca="false">SUMIFS(Lançamentos!$D$5:$D$2004,Lançamentos!$B$5:$B$2004,J$4,Lançamentos!$G$5:$G$2004,$A55)</f>
        <v>0</v>
      </c>
      <c r="K55" s="7" t="n">
        <f aca="false">SUMIFS(Lançamentos!$D$5:$D$2004,Lançamentos!$B$5:$B$2004,K$4,Lançamentos!$G$5:$G$2004,$A55)</f>
        <v>0</v>
      </c>
      <c r="L55" s="7" t="n">
        <f aca="false">SUMIFS(Lançamentos!$D$5:$D$2004,Lançamentos!$B$5:$B$2004,L$4,Lançamentos!$G$5:$G$2004,$A55)</f>
        <v>0</v>
      </c>
      <c r="M55" s="7" t="n">
        <f aca="false">SUMIFS(Lançamentos!$D$5:$D$2004,Lançamentos!$B$5:$B$2004,M$4,Lançamentos!$G$5:$G$2004,$A55)</f>
        <v>0</v>
      </c>
      <c r="N55" s="7" t="n">
        <f aca="false">SUMIFS(Lançamentos!$D$5:$D$2004,Lançamentos!$B$5:$B$2004,N$4,Lançamentos!$G$5:$G$2004,$A55)</f>
        <v>0</v>
      </c>
      <c r="O55" s="7" t="n">
        <f aca="false">SUMIFS(Lançamentos!$D$5:$D$2004,Lançamentos!$B$5:$B$2004,O$4,Lançamentos!$G$5:$G$2004,$A55)</f>
        <v>0</v>
      </c>
      <c r="P55" s="7" t="n">
        <f aca="false">SUMIFS(Lançamentos!$D$5:$D$2004,Lançamentos!$B$5:$B$2004,P$4,Lançamentos!$G$5:$G$2004,$A55)</f>
        <v>0</v>
      </c>
      <c r="Q55" s="7" t="n">
        <f aca="false">SUMIFS(Lançamentos!$D$5:$D$2004,Lançamentos!$B$5:$B$2004,Q$4,Lançamentos!$G$5:$G$2004,$A55)</f>
        <v>0</v>
      </c>
      <c r="R55" s="7" t="n">
        <f aca="false">SUMIFS(Lançamentos!$D$5:$D$2004,Lançamentos!$B$5:$B$2004,R$4,Lançamentos!$G$5:$G$2004,$A55)</f>
        <v>0</v>
      </c>
    </row>
    <row r="56" customFormat="false" ht="15" hidden="false" customHeight="false" outlineLevel="0" collapsed="false">
      <c r="A56" s="34" t="n">
        <f aca="false">A55+7</f>
        <v>46650</v>
      </c>
      <c r="B56" s="34" t="n">
        <f aca="false">A56+6</f>
        <v>46656</v>
      </c>
      <c r="C56" s="7" t="n">
        <f aca="false">SUMIFS(Lançamentos!$D$5:$D$2004,Lançamentos!$F$5:$F$2004,"Ganho",Lançamentos!$G$5:$G$2004,$A56)</f>
        <v>0</v>
      </c>
      <c r="D56" s="7" t="n">
        <f aca="false">SUMIFS(Lançamentos!$D$5:$D$2004,Lançamentos!$F$5:$F$2004,"Gasto",Lançamentos!$G$5:$G$2004,$A56)</f>
        <v>0</v>
      </c>
      <c r="E56" s="35" t="n">
        <f aca="false">C56-D56</f>
        <v>0</v>
      </c>
      <c r="F56" s="7" t="n">
        <f aca="false">SUMIFS(Lançamentos!$D$5:$D$2004,Lançamentos!$B$5:$B$2004,F$4,Lançamentos!$G$5:$G$2004,$A56)</f>
        <v>0</v>
      </c>
      <c r="G56" s="7" t="n">
        <f aca="false">SUMIFS(Lançamentos!$D$5:$D$2004,Lançamentos!$B$5:$B$2004,G$4,Lançamentos!$G$5:$G$2004,$A56)</f>
        <v>0</v>
      </c>
      <c r="H56" s="7" t="n">
        <f aca="false">SUMIFS(Lançamentos!$D$5:$D$2004,Lançamentos!$B$5:$B$2004,H$4,Lançamentos!$G$5:$G$2004,$A56)</f>
        <v>0</v>
      </c>
      <c r="I56" s="7" t="n">
        <f aca="false">SUMIFS(Lançamentos!$D$5:$D$2004,Lançamentos!$B$5:$B$2004,I$4,Lançamentos!$G$5:$G$2004,$A56)</f>
        <v>0</v>
      </c>
      <c r="J56" s="7" t="n">
        <f aca="false">SUMIFS(Lançamentos!$D$5:$D$2004,Lançamentos!$B$5:$B$2004,J$4,Lançamentos!$G$5:$G$2004,$A56)</f>
        <v>0</v>
      </c>
      <c r="K56" s="7" t="n">
        <f aca="false">SUMIFS(Lançamentos!$D$5:$D$2004,Lançamentos!$B$5:$B$2004,K$4,Lançamentos!$G$5:$G$2004,$A56)</f>
        <v>0</v>
      </c>
      <c r="L56" s="7" t="n">
        <f aca="false">SUMIFS(Lançamentos!$D$5:$D$2004,Lançamentos!$B$5:$B$2004,L$4,Lançamentos!$G$5:$G$2004,$A56)</f>
        <v>0</v>
      </c>
      <c r="M56" s="7" t="n">
        <f aca="false">SUMIFS(Lançamentos!$D$5:$D$2004,Lançamentos!$B$5:$B$2004,M$4,Lançamentos!$G$5:$G$2004,$A56)</f>
        <v>0</v>
      </c>
      <c r="N56" s="7" t="n">
        <f aca="false">SUMIFS(Lançamentos!$D$5:$D$2004,Lançamentos!$B$5:$B$2004,N$4,Lançamentos!$G$5:$G$2004,$A56)</f>
        <v>0</v>
      </c>
      <c r="O56" s="7" t="n">
        <f aca="false">SUMIFS(Lançamentos!$D$5:$D$2004,Lançamentos!$B$5:$B$2004,O$4,Lançamentos!$G$5:$G$2004,$A56)</f>
        <v>0</v>
      </c>
      <c r="P56" s="7" t="n">
        <f aca="false">SUMIFS(Lançamentos!$D$5:$D$2004,Lançamentos!$B$5:$B$2004,P$4,Lançamentos!$G$5:$G$2004,$A56)</f>
        <v>0</v>
      </c>
      <c r="Q56" s="7" t="n">
        <f aca="false">SUMIFS(Lançamentos!$D$5:$D$2004,Lançamentos!$B$5:$B$2004,Q$4,Lançamentos!$G$5:$G$2004,$A56)</f>
        <v>0</v>
      </c>
      <c r="R56" s="7" t="n">
        <f aca="false">SUMIFS(Lançamentos!$D$5:$D$2004,Lançamentos!$B$5:$B$2004,R$4,Lançamentos!$G$5:$G$2004,$A56)</f>
        <v>0</v>
      </c>
    </row>
    <row r="57" customFormat="false" ht="15" hidden="false" customHeight="false" outlineLevel="0" collapsed="false">
      <c r="A57" s="34" t="n">
        <f aca="false">A56+7</f>
        <v>46657</v>
      </c>
      <c r="B57" s="34" t="n">
        <f aca="false">A57+6</f>
        <v>46663</v>
      </c>
      <c r="C57" s="7" t="n">
        <f aca="false">SUMIFS(Lançamentos!$D$5:$D$2004,Lançamentos!$F$5:$F$2004,"Ganho",Lançamentos!$G$5:$G$2004,$A57)</f>
        <v>0</v>
      </c>
      <c r="D57" s="7" t="n">
        <f aca="false">SUMIFS(Lançamentos!$D$5:$D$2004,Lançamentos!$F$5:$F$2004,"Gasto",Lançamentos!$G$5:$G$2004,$A57)</f>
        <v>0</v>
      </c>
      <c r="E57" s="35" t="n">
        <f aca="false">C57-D57</f>
        <v>0</v>
      </c>
      <c r="F57" s="7" t="n">
        <f aca="false">SUMIFS(Lançamentos!$D$5:$D$2004,Lançamentos!$B$5:$B$2004,F$4,Lançamentos!$G$5:$G$2004,$A57)</f>
        <v>0</v>
      </c>
      <c r="G57" s="7" t="n">
        <f aca="false">SUMIFS(Lançamentos!$D$5:$D$2004,Lançamentos!$B$5:$B$2004,G$4,Lançamentos!$G$5:$G$2004,$A57)</f>
        <v>0</v>
      </c>
      <c r="H57" s="7" t="n">
        <f aca="false">SUMIFS(Lançamentos!$D$5:$D$2004,Lançamentos!$B$5:$B$2004,H$4,Lançamentos!$G$5:$G$2004,$A57)</f>
        <v>0</v>
      </c>
      <c r="I57" s="7" t="n">
        <f aca="false">SUMIFS(Lançamentos!$D$5:$D$2004,Lançamentos!$B$5:$B$2004,I$4,Lançamentos!$G$5:$G$2004,$A57)</f>
        <v>0</v>
      </c>
      <c r="J57" s="7" t="n">
        <f aca="false">SUMIFS(Lançamentos!$D$5:$D$2004,Lançamentos!$B$5:$B$2004,J$4,Lançamentos!$G$5:$G$2004,$A57)</f>
        <v>0</v>
      </c>
      <c r="K57" s="7" t="n">
        <f aca="false">SUMIFS(Lançamentos!$D$5:$D$2004,Lançamentos!$B$5:$B$2004,K$4,Lançamentos!$G$5:$G$2004,$A57)</f>
        <v>0</v>
      </c>
      <c r="L57" s="7" t="n">
        <f aca="false">SUMIFS(Lançamentos!$D$5:$D$2004,Lançamentos!$B$5:$B$2004,L$4,Lançamentos!$G$5:$G$2004,$A57)</f>
        <v>0</v>
      </c>
      <c r="M57" s="7" t="n">
        <f aca="false">SUMIFS(Lançamentos!$D$5:$D$2004,Lançamentos!$B$5:$B$2004,M$4,Lançamentos!$G$5:$G$2004,$A57)</f>
        <v>0</v>
      </c>
      <c r="N57" s="7" t="n">
        <f aca="false">SUMIFS(Lançamentos!$D$5:$D$2004,Lançamentos!$B$5:$B$2004,N$4,Lançamentos!$G$5:$G$2004,$A57)</f>
        <v>0</v>
      </c>
      <c r="O57" s="7" t="n">
        <f aca="false">SUMIFS(Lançamentos!$D$5:$D$2004,Lançamentos!$B$5:$B$2004,O$4,Lançamentos!$G$5:$G$2004,$A57)</f>
        <v>0</v>
      </c>
      <c r="P57" s="7" t="n">
        <f aca="false">SUMIFS(Lançamentos!$D$5:$D$2004,Lançamentos!$B$5:$B$2004,P$4,Lançamentos!$G$5:$G$2004,$A57)</f>
        <v>0</v>
      </c>
      <c r="Q57" s="7" t="n">
        <f aca="false">SUMIFS(Lançamentos!$D$5:$D$2004,Lançamentos!$B$5:$B$2004,Q$4,Lançamentos!$G$5:$G$2004,$A57)</f>
        <v>0</v>
      </c>
      <c r="R57" s="7" t="n">
        <f aca="false">SUMIFS(Lançamentos!$D$5:$D$2004,Lançamentos!$B$5:$B$2004,R$4,Lançamentos!$G$5:$G$2004,$A57)</f>
        <v>0</v>
      </c>
    </row>
  </sheetData>
  <conditionalFormatting sqref="E5:E57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2026-10-13T22:39:31Z</dcterms:created>
  <dc:creator>openpyxl</dc:creator>
  <dc:description/>
  <dc:language>en-US</dc:language>
  <cp:lastModifiedBy/>
  <dcterms:modified xsi:type="dcterms:W3CDTF">2026-10-13T22:39:32Z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